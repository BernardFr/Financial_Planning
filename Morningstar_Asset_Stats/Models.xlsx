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fraenkel/Documents/Code/Fin_Think/Morningstar_Asset_Stats/"/>
    </mc:Choice>
  </mc:AlternateContent>
  <xr:revisionPtr revIDLastSave="0" documentId="13_ncr:1_{EE9A7363-33F3-8E4D-9C02-34B78FE184B5}" xr6:coauthVersionLast="47" xr6:coauthVersionMax="47" xr10:uidLastSave="{00000000-0000-0000-0000-000000000000}"/>
  <bookViews>
    <workbookView xWindow="3640" yWindow="500" windowWidth="32160" windowHeight="21100" xr2:uid="{07C9C53C-7BCB-9A43-A59D-E7EE4CF7B55B}"/>
  </bookViews>
  <sheets>
    <sheet name="Mod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7" i="1" l="1"/>
  <c r="W8" i="1"/>
  <c r="K3" i="1"/>
  <c r="L3" i="1"/>
  <c r="M3" i="1"/>
  <c r="N3" i="1"/>
  <c r="O3" i="1"/>
  <c r="P3" i="1"/>
  <c r="Q3" i="1"/>
  <c r="R3" i="1"/>
  <c r="S3" i="1"/>
  <c r="T3" i="1"/>
  <c r="U3" i="1"/>
  <c r="V3" i="1"/>
  <c r="J3" i="1"/>
  <c r="V35" i="1"/>
  <c r="V28" i="1"/>
  <c r="V21" i="1"/>
  <c r="V13" i="1"/>
  <c r="V37" i="1" l="1"/>
  <c r="U35" i="1"/>
  <c r="U28" i="1"/>
  <c r="U21" i="1"/>
  <c r="U13" i="1"/>
  <c r="U37" i="1" l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T13" i="1"/>
  <c r="S13" i="1"/>
  <c r="S37" i="1" s="1"/>
  <c r="R13" i="1"/>
  <c r="Q13" i="1"/>
  <c r="P13" i="1"/>
  <c r="O13" i="1"/>
  <c r="O37" i="1" s="1"/>
  <c r="N13" i="1"/>
  <c r="M13" i="1"/>
  <c r="L13" i="1"/>
  <c r="K13" i="1"/>
  <c r="J13" i="1"/>
  <c r="I13" i="1"/>
  <c r="H13" i="1"/>
  <c r="W7" i="1"/>
  <c r="K37" i="1" l="1"/>
  <c r="H37" i="1"/>
  <c r="L37" i="1"/>
  <c r="P37" i="1"/>
  <c r="T37" i="1"/>
  <c r="I37" i="1"/>
  <c r="M37" i="1"/>
  <c r="Q37" i="1"/>
  <c r="J37" i="1"/>
  <c r="N37" i="1"/>
  <c r="R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Bernard Fraenkel</author>
  </authors>
  <commentList>
    <comment ref="G7" authorId="0" shapeId="0" xr:uid="{F370801B-25FD-9142-8AA0-B1B55616858B}">
      <text>
        <r>
          <rPr>
            <sz val="10"/>
            <color rgb="FF000000"/>
            <rFont val="Tahoma"/>
            <family val="2"/>
          </rPr>
          <t xml:space="preserve">ORIGINAL PORTFOLIO WAS TLO 
</t>
        </r>
        <r>
          <rPr>
            <sz val="10"/>
            <color rgb="FF000000"/>
            <rFont val="Tahoma"/>
            <family val="2"/>
          </rPr>
          <t>4 3 2013</t>
        </r>
      </text>
    </comment>
  </commentList>
</comments>
</file>

<file path=xl/sharedStrings.xml><?xml version="1.0" encoding="utf-8"?>
<sst xmlns="http://schemas.openxmlformats.org/spreadsheetml/2006/main" count="197" uniqueCount="134">
  <si>
    <t>Category Index</t>
  </si>
  <si>
    <t>Morningstar Category</t>
  </si>
  <si>
    <t>BF Morningstar</t>
  </si>
  <si>
    <t>Stock/Bond</t>
  </si>
  <si>
    <t>Mapping</t>
  </si>
  <si>
    <r>
      <t>20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80</t>
    </r>
  </si>
  <si>
    <r>
      <t>25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75</t>
    </r>
  </si>
  <si>
    <r>
      <t>30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70</t>
    </r>
  </si>
  <si>
    <r>
      <t>35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65</t>
    </r>
  </si>
  <si>
    <r>
      <t>40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60</t>
    </r>
  </si>
  <si>
    <r>
      <t>45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55</t>
    </r>
  </si>
  <si>
    <r>
      <t>50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50</t>
    </r>
  </si>
  <si>
    <r>
      <t>55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45</t>
    </r>
  </si>
  <si>
    <r>
      <t>60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40</t>
    </r>
  </si>
  <si>
    <r>
      <t>65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35</t>
    </r>
  </si>
  <si>
    <r>
      <t>70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30</t>
    </r>
  </si>
  <si>
    <r>
      <t>75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25</t>
    </r>
  </si>
  <si>
    <r>
      <t>80</t>
    </r>
    <r>
      <rPr>
        <b/>
        <sz val="8"/>
        <color rgb="FF000000"/>
        <rFont val="Calibri"/>
        <family val="2"/>
        <scheme val="minor"/>
      </rPr>
      <t>/</t>
    </r>
    <r>
      <rPr>
        <b/>
        <sz val="8"/>
        <color rgb="FF1F497D"/>
        <rFont val="Calibri"/>
        <family val="2"/>
        <scheme val="minor"/>
      </rPr>
      <t>20</t>
    </r>
  </si>
  <si>
    <t>iShares Barclays 1-3 Year Treasury Bond</t>
  </si>
  <si>
    <t>Barclays Government 1-5 Yr TR USD</t>
  </si>
  <si>
    <t>Short Government</t>
  </si>
  <si>
    <t>US Large Cap Growth</t>
  </si>
  <si>
    <t>Stock</t>
  </si>
  <si>
    <t>Cash</t>
  </si>
  <si>
    <t>SHY</t>
  </si>
  <si>
    <t>US Large Cap Value</t>
  </si>
  <si>
    <t>US Mid Cap Growth</t>
  </si>
  <si>
    <t>Vanguard Short-Term Bond ETF</t>
  </si>
  <si>
    <t>Barclays Govt/Credit 1-5 Yr TR USD</t>
  </si>
  <si>
    <t>Short-Term Bond</t>
  </si>
  <si>
    <t>US Mid Cap Value</t>
  </si>
  <si>
    <t>US Inv Grade Bonds</t>
  </si>
  <si>
    <t>BSV</t>
  </si>
  <si>
    <t>Vanguard Intermediate-Term Bond ETF</t>
  </si>
  <si>
    <t>Barclays US Agg Bond TR USD</t>
  </si>
  <si>
    <t>Intermediate-Term Bond</t>
  </si>
  <si>
    <t>US Small Cap Growth</t>
  </si>
  <si>
    <t>BIV</t>
  </si>
  <si>
    <t>SPDR Barclays Capital Long Term Treasury</t>
  </si>
  <si>
    <t>Barclays US Government Long TR USD</t>
  </si>
  <si>
    <t>Long Government</t>
  </si>
  <si>
    <t>US Small Cap Value</t>
  </si>
  <si>
    <t>SPTF</t>
  </si>
  <si>
    <t>SPDR Barclays Capital TIPS</t>
  </si>
  <si>
    <t>Barclays US Treasury TIPS TR USD</t>
  </si>
  <si>
    <t>Inflation-Protected Bond</t>
  </si>
  <si>
    <t>Non-US Dev Stk</t>
  </si>
  <si>
    <t>IPE</t>
  </si>
  <si>
    <t>iShares iBoxx $ Invest Grade Corp Bond</t>
  </si>
  <si>
    <t>Corporate Bond</t>
  </si>
  <si>
    <t>Non-US Emrg Stk</t>
  </si>
  <si>
    <t>LQD</t>
  </si>
  <si>
    <t>iShares High Yield Corporate Bond</t>
  </si>
  <si>
    <t>BofAML US HY Master II TR USD</t>
  </si>
  <si>
    <t>High Yield Bond</t>
  </si>
  <si>
    <t>Bond</t>
  </si>
  <si>
    <t>US High Yield Bonds</t>
  </si>
  <si>
    <t>HYG</t>
  </si>
  <si>
    <t>SPDR Barclays Capital Intl Treasury Bond</t>
  </si>
  <si>
    <t>Citi WGBI NonUSD USD</t>
  </si>
  <si>
    <t>World Bond</t>
  </si>
  <si>
    <t>Non-US Dev Bonds</t>
  </si>
  <si>
    <t>BWX</t>
  </si>
  <si>
    <t>iShares JPMorgan USD Emerg Markets Bond</t>
  </si>
  <si>
    <t>JPM EMBI Global TR USD</t>
  </si>
  <si>
    <t>Emerging Markets Bond</t>
  </si>
  <si>
    <t>EMB</t>
  </si>
  <si>
    <t>Vanguard Growth ETF</t>
  </si>
  <si>
    <t>Russell 1000 Grothh TR USD</t>
  </si>
  <si>
    <t>Large Growth</t>
  </si>
  <si>
    <t>VUG</t>
  </si>
  <si>
    <t>Vanguard Value ETF</t>
  </si>
  <si>
    <t>Russell 1000 Value TR USD</t>
  </si>
  <si>
    <t>Large Value</t>
  </si>
  <si>
    <t>Real Estate</t>
  </si>
  <si>
    <t>VTV</t>
  </si>
  <si>
    <t>Vanguard Mid-Cap ETF</t>
  </si>
  <si>
    <t>Russell Mid Cap TR USD</t>
  </si>
  <si>
    <t>Mid-Cap Blend</t>
  </si>
  <si>
    <t>Commodities</t>
  </si>
  <si>
    <t>US Mid Cap Growth + US Mid Cap Value</t>
  </si>
  <si>
    <t>VO</t>
  </si>
  <si>
    <t>Vanguard Small Cap Growth ETF</t>
  </si>
  <si>
    <t>Russell 2000 Growth TR USD</t>
  </si>
  <si>
    <t>Small Growth</t>
  </si>
  <si>
    <t>VBK</t>
  </si>
  <si>
    <t>Vanguard Small Cap Value ETF</t>
  </si>
  <si>
    <t>Russell 2000 Value TR USD</t>
  </si>
  <si>
    <t>Small Value</t>
  </si>
  <si>
    <t>VBR</t>
  </si>
  <si>
    <t>iShares Russel Microcap Index Fund</t>
  </si>
  <si>
    <t>Russell 2000 TR USD</t>
  </si>
  <si>
    <t>Small Blend</t>
  </si>
  <si>
    <t>US Small Cap Growth + US Small Cap Value</t>
  </si>
  <si>
    <t>IWC</t>
  </si>
  <si>
    <t>Vanguard Europe Pacific ETF</t>
  </si>
  <si>
    <t>MSCI ACWI Ex USA NR USD</t>
  </si>
  <si>
    <t>Foreign Large Blend</t>
  </si>
  <si>
    <t>VEA</t>
  </si>
  <si>
    <t>iShares MSCI EAFE Small Cap Index</t>
  </si>
  <si>
    <t>MSCI World Ex USA SMID NR USD</t>
  </si>
  <si>
    <t>Foreign Small/Mid Blend</t>
  </si>
  <si>
    <t>SCZ</t>
  </si>
  <si>
    <t>Vanguard Emerging Markets Stock ETF</t>
  </si>
  <si>
    <t>MSCI EM NR USD</t>
  </si>
  <si>
    <t>Diversified Emerging Mkts</t>
  </si>
  <si>
    <t>VWO</t>
  </si>
  <si>
    <t>SPDR S&amp;P Emerging Markets Small Cap</t>
  </si>
  <si>
    <t>EWX</t>
  </si>
  <si>
    <t>Claymore/BNY Mellon Frontier Markets ETF</t>
  </si>
  <si>
    <t>FRN</t>
  </si>
  <si>
    <t>PowerShares Preferred</t>
  </si>
  <si>
    <t>BofAML Preferred Stock Fixed Rate TR USD</t>
  </si>
  <si>
    <t>Preferred Stock</t>
  </si>
  <si>
    <t>PGX</t>
  </si>
  <si>
    <t>Market Vectors Agribusiness ETF</t>
  </si>
  <si>
    <t>S&amp;P North American Natural Resources TR</t>
  </si>
  <si>
    <t>Natural Resources</t>
  </si>
  <si>
    <t>MOO</t>
  </si>
  <si>
    <t>iShares COMEX Gold Trust</t>
  </si>
  <si>
    <t>DJ UBS Sub Precious Metals TR</t>
  </si>
  <si>
    <t>Commodities Precious Metals</t>
  </si>
  <si>
    <t>IAU</t>
  </si>
  <si>
    <t>PowerShares DB Multi Sector Commodity</t>
  </si>
  <si>
    <t>Morningstar Energy Commodity TR</t>
  </si>
  <si>
    <t>Commodities Energy</t>
  </si>
  <si>
    <t>DBO</t>
  </si>
  <si>
    <t>SPDR Dow Jones Global Real Estate</t>
  </si>
  <si>
    <t>S&amp;P Global REIT TR USD</t>
  </si>
  <si>
    <t>Global Real Estate</t>
  </si>
  <si>
    <t>RWO</t>
  </si>
  <si>
    <t>100/0</t>
  </si>
  <si>
    <t>0/100</t>
  </si>
  <si>
    <t>#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</si>
</sst>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E46D0A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rgb="FF1F497D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theme="1" tint="0.499984740745262"/>
      <name val="Calibri"/>
      <family val="2"/>
      <scheme val="minor"/>
    </font>
    <font>
      <b/>
      <sz val="8"/>
      <color rgb="FF00B05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1F497D"/>
      <name val="Calibri"/>
      <family val="2"/>
      <scheme val="minor"/>
    </font>
    <font>
      <sz val="8"/>
      <color rgb="FFE46D0A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7030A0"/>
      <name val="Calibri"/>
      <family val="2"/>
      <scheme val="minor"/>
    </font>
    <font>
      <b/>
      <sz val="8"/>
      <color rgb="FF7030A0"/>
      <name val="Calibri"/>
      <family val="2"/>
      <scheme val="minor"/>
    </font>
    <font>
      <sz val="10"/>
      <color rgb="FF000000"/>
      <name val="Tahoma"/>
      <family val="2"/>
    </font>
    <font>
      <i/>
      <sz val="8"/>
      <color theme="1"/>
      <name val="Calibri"/>
      <family val="2"/>
      <scheme val="minor"/>
    </font>
    <font>
      <i/>
      <sz val="8"/>
      <color rgb="FF00B050"/>
      <name val="Calibri"/>
      <family val="2"/>
      <scheme val="minor"/>
    </font>
    <font>
      <i/>
      <sz val="8"/>
      <color rgb="FF1F497D"/>
      <name val="Calibri"/>
      <family val="2"/>
      <scheme val="minor"/>
    </font>
    <font>
      <i/>
      <sz val="8"/>
      <color rgb="FFE46D0A"/>
      <name val="Calibri"/>
      <family val="2"/>
      <scheme val="minor"/>
    </font>
    <font>
      <i/>
      <sz val="8"/>
      <color rgb="FFFF0000"/>
      <name val="Calibri"/>
      <family val="2"/>
      <scheme val="minor"/>
    </font>
    <font>
      <i/>
      <sz val="8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9" fontId="6" fillId="2" borderId="1" xfId="0" applyNumberFormat="1" applyFont="1" applyFill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7" fillId="3" borderId="0" xfId="0" applyFont="1" applyFill="1"/>
    <xf numFmtId="9" fontId="8" fillId="2" borderId="0" xfId="0" applyNumberFormat="1" applyFont="1" applyFill="1" applyAlignment="1">
      <alignment horizontal="center"/>
    </xf>
    <xf numFmtId="9" fontId="8" fillId="0" borderId="0" xfId="0" applyNumberFormat="1" applyFont="1" applyAlignment="1">
      <alignment horizontal="center"/>
    </xf>
    <xf numFmtId="0" fontId="9" fillId="2" borderId="0" xfId="0" applyFont="1" applyFill="1" applyAlignment="1">
      <alignment horizontal="center"/>
    </xf>
    <xf numFmtId="0" fontId="10" fillId="0" borderId="0" xfId="0" applyFont="1"/>
    <xf numFmtId="9" fontId="10" fillId="2" borderId="0" xfId="0" applyNumberFormat="1" applyFont="1" applyFill="1" applyAlignment="1">
      <alignment horizontal="center"/>
    </xf>
    <xf numFmtId="9" fontId="10" fillId="0" borderId="0" xfId="0" applyNumberFormat="1" applyFont="1" applyAlignment="1">
      <alignment horizontal="center"/>
    </xf>
    <xf numFmtId="9" fontId="10" fillId="2" borderId="1" xfId="0" applyNumberFormat="1" applyFont="1" applyFill="1" applyBorder="1" applyAlignment="1">
      <alignment horizontal="center"/>
    </xf>
    <xf numFmtId="9" fontId="10" fillId="0" borderId="1" xfId="0" applyNumberFormat="1" applyFont="1" applyBorder="1" applyAlignment="1">
      <alignment horizontal="center"/>
    </xf>
    <xf numFmtId="9" fontId="5" fillId="2" borderId="0" xfId="0" applyNumberFormat="1" applyFont="1" applyFill="1" applyAlignment="1">
      <alignment horizontal="center"/>
    </xf>
    <xf numFmtId="0" fontId="11" fillId="0" borderId="0" xfId="0" applyFont="1"/>
    <xf numFmtId="9" fontId="11" fillId="2" borderId="0" xfId="0" applyNumberFormat="1" applyFont="1" applyFill="1" applyAlignment="1">
      <alignment horizontal="center"/>
    </xf>
    <xf numFmtId="9" fontId="11" fillId="0" borderId="0" xfId="0" applyNumberFormat="1" applyFont="1" applyAlignment="1">
      <alignment horizontal="center"/>
    </xf>
    <xf numFmtId="9" fontId="11" fillId="2" borderId="2" xfId="0" applyNumberFormat="1" applyFont="1" applyFill="1" applyBorder="1" applyAlignment="1">
      <alignment horizontal="center"/>
    </xf>
    <xf numFmtId="9" fontId="11" fillId="0" borderId="2" xfId="0" applyNumberFormat="1" applyFont="1" applyBorder="1" applyAlignment="1">
      <alignment horizontal="center"/>
    </xf>
    <xf numFmtId="9" fontId="3" fillId="2" borderId="0" xfId="0" applyNumberFormat="1" applyFont="1" applyFill="1" applyAlignment="1">
      <alignment horizontal="center"/>
    </xf>
    <xf numFmtId="0" fontId="12" fillId="0" borderId="0" xfId="0" applyFont="1"/>
    <xf numFmtId="9" fontId="12" fillId="2" borderId="0" xfId="0" applyNumberFormat="1" applyFont="1" applyFill="1" applyAlignment="1">
      <alignment horizontal="center"/>
    </xf>
    <xf numFmtId="9" fontId="12" fillId="0" borderId="0" xfId="0" applyNumberFormat="1" applyFont="1" applyAlignment="1">
      <alignment horizontal="center"/>
    </xf>
    <xf numFmtId="9" fontId="13" fillId="2" borderId="0" xfId="0" applyNumberFormat="1" applyFont="1" applyFill="1" applyAlignment="1">
      <alignment horizontal="center"/>
    </xf>
    <xf numFmtId="0" fontId="14" fillId="0" borderId="0" xfId="0" applyFont="1"/>
    <xf numFmtId="9" fontId="14" fillId="2" borderId="0" xfId="0" applyNumberFormat="1" applyFont="1" applyFill="1" applyAlignment="1">
      <alignment horizontal="center"/>
    </xf>
    <xf numFmtId="9" fontId="14" fillId="0" borderId="0" xfId="0" applyNumberFormat="1" applyFont="1" applyAlignment="1">
      <alignment horizontal="center"/>
    </xf>
    <xf numFmtId="9" fontId="14" fillId="2" borderId="1" xfId="0" applyNumberFormat="1" applyFont="1" applyFill="1" applyBorder="1" applyAlignment="1">
      <alignment horizontal="center"/>
    </xf>
    <xf numFmtId="9" fontId="14" fillId="0" borderId="1" xfId="0" applyNumberFormat="1" applyFont="1" applyBorder="1" applyAlignment="1">
      <alignment horizontal="center"/>
    </xf>
    <xf numFmtId="9" fontId="15" fillId="2" borderId="0" xfId="0" applyNumberFormat="1" applyFont="1" applyFill="1" applyAlignment="1">
      <alignment horizontal="center"/>
    </xf>
    <xf numFmtId="9" fontId="4" fillId="2" borderId="0" xfId="0" applyNumberFormat="1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10" fontId="3" fillId="2" borderId="0" xfId="0" applyNumberFormat="1" applyFont="1" applyFill="1" applyAlignment="1">
      <alignment horizontal="center"/>
    </xf>
    <xf numFmtId="10" fontId="6" fillId="2" borderId="1" xfId="0" applyNumberFormat="1" applyFont="1" applyFill="1" applyBorder="1" applyAlignment="1">
      <alignment horizontal="center"/>
    </xf>
    <xf numFmtId="10" fontId="9" fillId="2" borderId="0" xfId="0" applyNumberFormat="1" applyFont="1" applyFill="1" applyAlignment="1">
      <alignment horizontal="center"/>
    </xf>
    <xf numFmtId="10" fontId="10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11" fillId="2" borderId="0" xfId="0" applyNumberFormat="1" applyFont="1" applyFill="1" applyAlignment="1">
      <alignment horizontal="center"/>
    </xf>
    <xf numFmtId="10" fontId="11" fillId="2" borderId="2" xfId="0" applyNumberFormat="1" applyFont="1" applyFill="1" applyBorder="1" applyAlignment="1">
      <alignment horizontal="center"/>
    </xf>
    <xf numFmtId="10" fontId="12" fillId="2" borderId="0" xfId="0" applyNumberFormat="1" applyFont="1" applyFill="1" applyAlignment="1">
      <alignment horizontal="center"/>
    </xf>
    <xf numFmtId="10" fontId="13" fillId="2" borderId="0" xfId="0" applyNumberFormat="1" applyFont="1" applyFill="1" applyAlignment="1">
      <alignment horizontal="center"/>
    </xf>
    <xf numFmtId="10" fontId="14" fillId="2" borderId="0" xfId="0" applyNumberFormat="1" applyFont="1" applyFill="1" applyAlignment="1">
      <alignment horizontal="center"/>
    </xf>
    <xf numFmtId="10" fontId="15" fillId="2" borderId="0" xfId="0" applyNumberFormat="1" applyFont="1" applyFill="1" applyAlignment="1">
      <alignment horizontal="center"/>
    </xf>
    <xf numFmtId="10" fontId="4" fillId="2" borderId="0" xfId="0" applyNumberFormat="1" applyFont="1" applyFill="1" applyAlignment="1">
      <alignment horizontal="center"/>
    </xf>
    <xf numFmtId="10" fontId="1" fillId="0" borderId="0" xfId="0" applyNumberFormat="1" applyFont="1"/>
    <xf numFmtId="10" fontId="10" fillId="2" borderId="1" xfId="0" applyNumberFormat="1" applyFont="1" applyFill="1" applyBorder="1" applyAlignment="1">
      <alignment horizontal="center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04F0-3AAE-B541-829D-AA935255ACCE}">
  <dimension ref="A1:X37"/>
  <sheetViews>
    <sheetView tabSelected="1" topLeftCell="D1" zoomScale="160" zoomScaleNormal="160" workbookViewId="0">
      <pane xSplit="4" ySplit="1" topLeftCell="H2" activePane="bottomRight" state="frozen"/>
      <selection activeCell="D1" sqref="D1"/>
      <selection pane="topRight" activeCell="H1" sqref="H1"/>
      <selection pane="bottomLeft" activeCell="D2" sqref="D2"/>
      <selection pane="bottomRight" activeCell="W2" sqref="W2:W34"/>
    </sheetView>
  </sheetViews>
  <sheetFormatPr baseColWidth="10" defaultColWidth="9.1640625" defaultRowHeight="11" x14ac:dyDescent="0.15"/>
  <cols>
    <col min="1" max="1" width="30.5" style="1" bestFit="1" customWidth="1"/>
    <col min="2" max="2" width="29.83203125" style="1" bestFit="1" customWidth="1"/>
    <col min="3" max="3" width="21.5" style="1" bestFit="1" customWidth="1"/>
    <col min="4" max="4" width="21.5" style="1" customWidth="1"/>
    <col min="5" max="5" width="7.33203125" style="1" bestFit="1" customWidth="1"/>
    <col min="6" max="6" width="24.83203125" style="1" bestFit="1" customWidth="1"/>
    <col min="7" max="7" width="4.33203125" style="1" bestFit="1" customWidth="1"/>
    <col min="8" max="20" width="5.1640625" style="1" bestFit="1" customWidth="1"/>
    <col min="21" max="22" width="5.6640625" style="54" bestFit="1" customWidth="1"/>
    <col min="23" max="23" width="6" style="36" bestFit="1" customWidth="1"/>
    <col min="24" max="16384" width="9.1640625" style="1"/>
  </cols>
  <sheetData>
    <row r="1" spans="1:23" x14ac:dyDescent="0.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H1" s="3" t="s">
        <v>5</v>
      </c>
      <c r="I1" s="4" t="s">
        <v>6</v>
      </c>
      <c r="J1" s="3" t="s">
        <v>7</v>
      </c>
      <c r="K1" s="4" t="s">
        <v>8</v>
      </c>
      <c r="L1" s="3" t="s">
        <v>9</v>
      </c>
      <c r="M1" s="4" t="s">
        <v>10</v>
      </c>
      <c r="N1" s="3" t="s">
        <v>11</v>
      </c>
      <c r="O1" s="4" t="s">
        <v>12</v>
      </c>
      <c r="P1" s="3" t="s">
        <v>13</v>
      </c>
      <c r="Q1" s="4" t="s">
        <v>14</v>
      </c>
      <c r="R1" s="3" t="s">
        <v>15</v>
      </c>
      <c r="S1" s="4" t="s">
        <v>16</v>
      </c>
      <c r="T1" s="3" t="s">
        <v>17</v>
      </c>
      <c r="U1" s="42" t="s">
        <v>131</v>
      </c>
      <c r="V1" s="42" t="s">
        <v>132</v>
      </c>
    </row>
    <row r="2" spans="1:23" s="5" customFormat="1" ht="12" thickBot="1" x14ac:dyDescent="0.2">
      <c r="A2" s="5" t="s">
        <v>18</v>
      </c>
      <c r="B2" s="5" t="s">
        <v>19</v>
      </c>
      <c r="C2" s="5" t="s">
        <v>20</v>
      </c>
      <c r="D2" s="6" t="s">
        <v>21</v>
      </c>
      <c r="E2" s="6" t="s">
        <v>22</v>
      </c>
      <c r="F2" s="6" t="s">
        <v>23</v>
      </c>
      <c r="G2" s="5" t="s">
        <v>24</v>
      </c>
      <c r="H2" s="7">
        <v>0.02</v>
      </c>
      <c r="I2" s="8">
        <v>0.02</v>
      </c>
      <c r="J2" s="7">
        <v>0.02</v>
      </c>
      <c r="K2" s="8">
        <v>0.02</v>
      </c>
      <c r="L2" s="7">
        <v>0.02</v>
      </c>
      <c r="M2" s="8">
        <v>0.02</v>
      </c>
      <c r="N2" s="7">
        <v>0.02</v>
      </c>
      <c r="O2" s="8">
        <v>0.02</v>
      </c>
      <c r="P2" s="7">
        <v>0.02</v>
      </c>
      <c r="Q2" s="8">
        <v>0.02</v>
      </c>
      <c r="R2" s="7">
        <v>0.02</v>
      </c>
      <c r="S2" s="8">
        <v>0.02</v>
      </c>
      <c r="T2" s="7">
        <v>0.02</v>
      </c>
      <c r="U2" s="43">
        <v>0</v>
      </c>
      <c r="V2" s="43">
        <v>0.04</v>
      </c>
      <c r="W2" s="37" t="s">
        <v>24</v>
      </c>
    </row>
    <row r="3" spans="1:23" x14ac:dyDescent="0.15">
      <c r="D3" s="6" t="s">
        <v>25</v>
      </c>
      <c r="E3" s="6" t="s">
        <v>22</v>
      </c>
      <c r="F3" s="9"/>
      <c r="H3" s="10">
        <v>0.02</v>
      </c>
      <c r="I3" s="11">
        <v>0.02</v>
      </c>
      <c r="J3" s="10">
        <f>SUM(J2)</f>
        <v>0.02</v>
      </c>
      <c r="K3" s="10">
        <f t="shared" ref="K3:V3" si="0">SUM(K2)</f>
        <v>0.02</v>
      </c>
      <c r="L3" s="10">
        <f t="shared" si="0"/>
        <v>0.02</v>
      </c>
      <c r="M3" s="10">
        <f t="shared" si="0"/>
        <v>0.02</v>
      </c>
      <c r="N3" s="10">
        <f t="shared" si="0"/>
        <v>0.02</v>
      </c>
      <c r="O3" s="10">
        <f t="shared" si="0"/>
        <v>0.02</v>
      </c>
      <c r="P3" s="10">
        <f t="shared" si="0"/>
        <v>0.02</v>
      </c>
      <c r="Q3" s="10">
        <f t="shared" si="0"/>
        <v>0.02</v>
      </c>
      <c r="R3" s="10">
        <f t="shared" si="0"/>
        <v>0.02</v>
      </c>
      <c r="S3" s="10">
        <f t="shared" si="0"/>
        <v>0.02</v>
      </c>
      <c r="T3" s="10">
        <f t="shared" si="0"/>
        <v>0.02</v>
      </c>
      <c r="U3" s="10">
        <f t="shared" si="0"/>
        <v>0</v>
      </c>
      <c r="V3" s="10">
        <f t="shared" si="0"/>
        <v>0.04</v>
      </c>
    </row>
    <row r="4" spans="1:23" x14ac:dyDescent="0.15">
      <c r="D4" s="6" t="s">
        <v>26</v>
      </c>
      <c r="E4" s="6" t="s">
        <v>22</v>
      </c>
      <c r="F4" s="9"/>
      <c r="H4" s="12"/>
      <c r="J4" s="12"/>
      <c r="L4" s="12"/>
      <c r="N4" s="12"/>
      <c r="P4" s="12"/>
      <c r="R4" s="12"/>
      <c r="T4" s="12"/>
      <c r="U4" s="44"/>
      <c r="V4" s="44"/>
    </row>
    <row r="5" spans="1:23" x14ac:dyDescent="0.15">
      <c r="A5" s="13" t="s">
        <v>27</v>
      </c>
      <c r="B5" s="13" t="s">
        <v>28</v>
      </c>
      <c r="C5" s="13" t="s">
        <v>29</v>
      </c>
      <c r="D5" s="6" t="s">
        <v>30</v>
      </c>
      <c r="E5" s="6" t="s">
        <v>22</v>
      </c>
      <c r="F5" s="6" t="s">
        <v>31</v>
      </c>
      <c r="G5" s="13" t="s">
        <v>32</v>
      </c>
      <c r="H5" s="14">
        <v>0.16</v>
      </c>
      <c r="I5" s="15">
        <v>0.15</v>
      </c>
      <c r="J5" s="14">
        <v>0.14000000000000001</v>
      </c>
      <c r="K5" s="15">
        <v>0.13</v>
      </c>
      <c r="L5" s="14">
        <v>0.12</v>
      </c>
      <c r="M5" s="15">
        <v>0.11</v>
      </c>
      <c r="N5" s="14">
        <v>0.1</v>
      </c>
      <c r="O5" s="15">
        <v>0.09</v>
      </c>
      <c r="P5" s="14">
        <v>0.08</v>
      </c>
      <c r="Q5" s="15">
        <v>7.0000000000000007E-2</v>
      </c>
      <c r="R5" s="14">
        <v>0.06</v>
      </c>
      <c r="S5" s="15">
        <v>0.04</v>
      </c>
      <c r="T5" s="14">
        <v>0.02</v>
      </c>
      <c r="U5" s="45">
        <v>0</v>
      </c>
      <c r="V5" s="45">
        <v>0.19</v>
      </c>
      <c r="W5" s="38" t="s">
        <v>32</v>
      </c>
    </row>
    <row r="6" spans="1:23" x14ac:dyDescent="0.15">
      <c r="A6" s="13" t="s">
        <v>33</v>
      </c>
      <c r="B6" s="13" t="s">
        <v>34</v>
      </c>
      <c r="C6" s="13" t="s">
        <v>35</v>
      </c>
      <c r="D6" s="6" t="s">
        <v>36</v>
      </c>
      <c r="E6" s="6" t="s">
        <v>22</v>
      </c>
      <c r="F6" s="6" t="s">
        <v>31</v>
      </c>
      <c r="G6" s="13" t="s">
        <v>37</v>
      </c>
      <c r="H6" s="14">
        <v>0.16</v>
      </c>
      <c r="I6" s="15">
        <v>0.15</v>
      </c>
      <c r="J6" s="14">
        <v>0.14000000000000001</v>
      </c>
      <c r="K6" s="15">
        <v>0.13</v>
      </c>
      <c r="L6" s="14">
        <v>0.12</v>
      </c>
      <c r="M6" s="15">
        <v>0.11</v>
      </c>
      <c r="N6" s="14">
        <v>0.1</v>
      </c>
      <c r="O6" s="15">
        <v>0.09</v>
      </c>
      <c r="P6" s="14">
        <v>0.08</v>
      </c>
      <c r="Q6" s="15">
        <v>7.0000000000000007E-2</v>
      </c>
      <c r="R6" s="14">
        <v>0.06</v>
      </c>
      <c r="S6" s="15">
        <v>0.05</v>
      </c>
      <c r="T6" s="14">
        <v>0.04</v>
      </c>
      <c r="U6" s="45">
        <v>0</v>
      </c>
      <c r="V6" s="45">
        <v>0.19</v>
      </c>
      <c r="W6" s="38" t="s">
        <v>37</v>
      </c>
    </row>
    <row r="7" spans="1:23" x14ac:dyDescent="0.15">
      <c r="A7" s="13" t="s">
        <v>38</v>
      </c>
      <c r="B7" s="13" t="s">
        <v>39</v>
      </c>
      <c r="C7" s="13" t="s">
        <v>40</v>
      </c>
      <c r="D7" s="6" t="s">
        <v>41</v>
      </c>
      <c r="E7" s="6" t="s">
        <v>22</v>
      </c>
      <c r="F7" s="6" t="s">
        <v>31</v>
      </c>
      <c r="G7" s="13" t="s">
        <v>42</v>
      </c>
      <c r="H7" s="14">
        <v>0.16</v>
      </c>
      <c r="I7" s="15">
        <v>0.15</v>
      </c>
      <c r="J7" s="14">
        <v>0.14000000000000001</v>
      </c>
      <c r="K7" s="15">
        <v>0.13</v>
      </c>
      <c r="L7" s="14">
        <v>0.12</v>
      </c>
      <c r="M7" s="15">
        <v>0.11</v>
      </c>
      <c r="N7" s="14">
        <v>0.1</v>
      </c>
      <c r="O7" s="15">
        <v>0.09</v>
      </c>
      <c r="P7" s="14">
        <v>0.08</v>
      </c>
      <c r="Q7" s="15">
        <v>7.0000000000000007E-2</v>
      </c>
      <c r="R7" s="14">
        <v>0.06</v>
      </c>
      <c r="S7" s="15">
        <v>0.05</v>
      </c>
      <c r="T7" s="14">
        <v>0.04</v>
      </c>
      <c r="U7" s="45">
        <v>0</v>
      </c>
      <c r="V7" s="45">
        <v>0.19</v>
      </c>
      <c r="W7" s="38" t="str">
        <f>G7</f>
        <v>SPTF</v>
      </c>
    </row>
    <row r="8" spans="1:23" x14ac:dyDescent="0.15">
      <c r="A8" s="13" t="s">
        <v>43</v>
      </c>
      <c r="B8" s="13" t="s">
        <v>44</v>
      </c>
      <c r="C8" s="13" t="s">
        <v>45</v>
      </c>
      <c r="D8" s="6" t="s">
        <v>46</v>
      </c>
      <c r="E8" s="6" t="s">
        <v>22</v>
      </c>
      <c r="F8" s="6" t="s">
        <v>31</v>
      </c>
      <c r="G8" s="13" t="s">
        <v>47</v>
      </c>
      <c r="H8" s="14">
        <v>0.16</v>
      </c>
      <c r="I8" s="15">
        <v>0.15</v>
      </c>
      <c r="J8" s="14">
        <v>0.14000000000000001</v>
      </c>
      <c r="K8" s="15">
        <v>0.13</v>
      </c>
      <c r="L8" s="14">
        <v>0.12</v>
      </c>
      <c r="M8" s="15">
        <v>0.11</v>
      </c>
      <c r="N8" s="14">
        <v>0.1</v>
      </c>
      <c r="O8" s="15">
        <v>0.09</v>
      </c>
      <c r="P8" s="14">
        <v>0.08</v>
      </c>
      <c r="Q8" s="15">
        <v>7.0000000000000007E-2</v>
      </c>
      <c r="R8" s="14">
        <v>0.06</v>
      </c>
      <c r="S8" s="15">
        <v>0.05</v>
      </c>
      <c r="T8" s="14">
        <v>0.04</v>
      </c>
      <c r="U8" s="45">
        <v>0</v>
      </c>
      <c r="V8" s="45">
        <v>0.19</v>
      </c>
      <c r="W8" s="38" t="str">
        <f>G8</f>
        <v>IPE</v>
      </c>
    </row>
    <row r="9" spans="1:23" x14ac:dyDescent="0.15">
      <c r="A9" s="13" t="s">
        <v>48</v>
      </c>
      <c r="B9" s="13" t="s">
        <v>34</v>
      </c>
      <c r="C9" s="13" t="s">
        <v>49</v>
      </c>
      <c r="D9" s="6" t="s">
        <v>50</v>
      </c>
      <c r="E9" s="6" t="s">
        <v>22</v>
      </c>
      <c r="F9" s="6" t="s">
        <v>31</v>
      </c>
      <c r="G9" s="13" t="s">
        <v>51</v>
      </c>
      <c r="H9" s="14">
        <v>0.06</v>
      </c>
      <c r="I9" s="15">
        <v>0.06</v>
      </c>
      <c r="J9" s="14">
        <v>0.05</v>
      </c>
      <c r="K9" s="15">
        <v>0.05</v>
      </c>
      <c r="L9" s="14">
        <v>0.04</v>
      </c>
      <c r="M9" s="15">
        <v>0.04</v>
      </c>
      <c r="N9" s="14">
        <v>0.03</v>
      </c>
      <c r="O9" s="15">
        <v>0.03</v>
      </c>
      <c r="P9" s="14">
        <v>0.02</v>
      </c>
      <c r="Q9" s="15">
        <v>0.02</v>
      </c>
      <c r="R9" s="14">
        <v>0.01</v>
      </c>
      <c r="S9" s="15">
        <v>0.01</v>
      </c>
      <c r="T9" s="14">
        <v>0.01</v>
      </c>
      <c r="U9" s="45">
        <v>0</v>
      </c>
      <c r="V9" s="45">
        <v>0.08</v>
      </c>
      <c r="W9" s="38" t="s">
        <v>51</v>
      </c>
    </row>
    <row r="10" spans="1:23" x14ac:dyDescent="0.15">
      <c r="A10" s="13" t="s">
        <v>52</v>
      </c>
      <c r="B10" s="13" t="s">
        <v>53</v>
      </c>
      <c r="C10" s="13" t="s">
        <v>54</v>
      </c>
      <c r="D10" s="6" t="s">
        <v>31</v>
      </c>
      <c r="E10" s="6" t="s">
        <v>55</v>
      </c>
      <c r="F10" s="6" t="s">
        <v>56</v>
      </c>
      <c r="G10" s="13" t="s">
        <v>57</v>
      </c>
      <c r="H10" s="14">
        <v>0.01</v>
      </c>
      <c r="I10" s="15">
        <v>0.01</v>
      </c>
      <c r="J10" s="14">
        <v>0.01</v>
      </c>
      <c r="K10" s="15">
        <v>0.01</v>
      </c>
      <c r="L10" s="14">
        <v>0.01</v>
      </c>
      <c r="M10" s="15">
        <v>0.01</v>
      </c>
      <c r="N10" s="14">
        <v>0.01</v>
      </c>
      <c r="O10" s="15">
        <v>0.01</v>
      </c>
      <c r="P10" s="14">
        <v>0.01</v>
      </c>
      <c r="Q10" s="15">
        <v>0.01</v>
      </c>
      <c r="R10" s="14">
        <v>0.01</v>
      </c>
      <c r="S10" s="15">
        <v>0.01</v>
      </c>
      <c r="T10" s="14">
        <v>0.01</v>
      </c>
      <c r="U10" s="45">
        <v>0</v>
      </c>
      <c r="V10" s="45">
        <v>0.02</v>
      </c>
      <c r="W10" s="38" t="s">
        <v>57</v>
      </c>
    </row>
    <row r="11" spans="1:23" x14ac:dyDescent="0.15">
      <c r="A11" s="13" t="s">
        <v>58</v>
      </c>
      <c r="B11" s="13" t="s">
        <v>59</v>
      </c>
      <c r="C11" s="13" t="s">
        <v>60</v>
      </c>
      <c r="D11" s="6" t="s">
        <v>56</v>
      </c>
      <c r="E11" s="6" t="s">
        <v>55</v>
      </c>
      <c r="F11" s="6" t="s">
        <v>61</v>
      </c>
      <c r="G11" s="13" t="s">
        <v>62</v>
      </c>
      <c r="H11" s="14">
        <v>0.06</v>
      </c>
      <c r="I11" s="15">
        <v>0.05</v>
      </c>
      <c r="J11" s="14">
        <v>0.05</v>
      </c>
      <c r="K11" s="15">
        <v>0.04</v>
      </c>
      <c r="L11" s="14">
        <v>0.04</v>
      </c>
      <c r="M11" s="15">
        <v>0.03</v>
      </c>
      <c r="N11" s="14">
        <v>0.03</v>
      </c>
      <c r="O11" s="15">
        <v>0.02</v>
      </c>
      <c r="P11" s="14">
        <v>0.02</v>
      </c>
      <c r="Q11" s="15">
        <v>0.01</v>
      </c>
      <c r="R11" s="14">
        <v>0.01</v>
      </c>
      <c r="S11" s="15">
        <v>0.01</v>
      </c>
      <c r="T11" s="14">
        <v>0.01</v>
      </c>
      <c r="U11" s="45">
        <v>0</v>
      </c>
      <c r="V11" s="45">
        <v>0.08</v>
      </c>
      <c r="W11" s="38" t="s">
        <v>62</v>
      </c>
    </row>
    <row r="12" spans="1:23" ht="12" thickBot="1" x14ac:dyDescent="0.2">
      <c r="A12" s="13" t="s">
        <v>63</v>
      </c>
      <c r="B12" s="13" t="s">
        <v>64</v>
      </c>
      <c r="C12" s="13" t="s">
        <v>65</v>
      </c>
      <c r="D12" s="6" t="s">
        <v>61</v>
      </c>
      <c r="E12" s="6" t="s">
        <v>55</v>
      </c>
      <c r="F12" s="6" t="s">
        <v>61</v>
      </c>
      <c r="G12" s="13" t="s">
        <v>66</v>
      </c>
      <c r="H12" s="16">
        <v>0.01</v>
      </c>
      <c r="I12" s="17">
        <v>0.01</v>
      </c>
      <c r="J12" s="16">
        <v>0.01</v>
      </c>
      <c r="K12" s="17">
        <v>0.01</v>
      </c>
      <c r="L12" s="16">
        <v>0.01</v>
      </c>
      <c r="M12" s="17">
        <v>0.01</v>
      </c>
      <c r="N12" s="16">
        <v>0.01</v>
      </c>
      <c r="O12" s="17">
        <v>0.01</v>
      </c>
      <c r="P12" s="16">
        <v>0.01</v>
      </c>
      <c r="Q12" s="17">
        <v>0.01</v>
      </c>
      <c r="R12" s="16">
        <v>0.01</v>
      </c>
      <c r="S12" s="17">
        <v>0.01</v>
      </c>
      <c r="T12" s="16">
        <v>0.01</v>
      </c>
      <c r="U12" s="45">
        <v>0</v>
      </c>
      <c r="V12" s="55">
        <v>0.02</v>
      </c>
      <c r="W12" s="38" t="s">
        <v>66</v>
      </c>
    </row>
    <row r="13" spans="1:23" x14ac:dyDescent="0.15">
      <c r="D13" s="9"/>
      <c r="E13" s="6"/>
      <c r="F13" s="9"/>
      <c r="H13" s="18">
        <f>SUM(H5:H12)</f>
        <v>0.78</v>
      </c>
      <c r="I13" s="18">
        <f t="shared" ref="I13:T13" si="1">SUM(I5:I12)</f>
        <v>0.73</v>
      </c>
      <c r="J13" s="18">
        <f t="shared" si="1"/>
        <v>0.68000000000000016</v>
      </c>
      <c r="K13" s="18">
        <f t="shared" si="1"/>
        <v>0.63000000000000012</v>
      </c>
      <c r="L13" s="18">
        <f t="shared" si="1"/>
        <v>0.58000000000000007</v>
      </c>
      <c r="M13" s="18">
        <f t="shared" si="1"/>
        <v>0.53</v>
      </c>
      <c r="N13" s="18">
        <f t="shared" si="1"/>
        <v>0.48000000000000009</v>
      </c>
      <c r="O13" s="18">
        <f t="shared" si="1"/>
        <v>0.43000000000000005</v>
      </c>
      <c r="P13" s="18">
        <f t="shared" si="1"/>
        <v>0.38000000000000006</v>
      </c>
      <c r="Q13" s="18">
        <f t="shared" si="1"/>
        <v>0.33000000000000007</v>
      </c>
      <c r="R13" s="18">
        <f t="shared" si="1"/>
        <v>0.28000000000000003</v>
      </c>
      <c r="S13" s="18">
        <f t="shared" si="1"/>
        <v>0.23000000000000004</v>
      </c>
      <c r="T13" s="18">
        <f t="shared" si="1"/>
        <v>0.18000000000000005</v>
      </c>
      <c r="U13" s="46">
        <f t="shared" ref="U13:V13" si="2">SUM(U5:U12)</f>
        <v>0</v>
      </c>
      <c r="V13" s="46">
        <f t="shared" si="2"/>
        <v>0.96</v>
      </c>
    </row>
    <row r="14" spans="1:23" x14ac:dyDescent="0.15">
      <c r="D14" s="9"/>
      <c r="E14" s="6"/>
      <c r="F14" s="9"/>
      <c r="H14" s="12"/>
      <c r="J14" s="12"/>
      <c r="L14" s="12"/>
      <c r="N14" s="12"/>
      <c r="P14" s="12"/>
      <c r="R14" s="12"/>
      <c r="T14" s="12"/>
      <c r="U14" s="44"/>
      <c r="V14" s="44"/>
    </row>
    <row r="15" spans="1:23" x14ac:dyDescent="0.15">
      <c r="A15" s="19" t="s">
        <v>67</v>
      </c>
      <c r="B15" s="19" t="s">
        <v>68</v>
      </c>
      <c r="C15" s="19" t="s">
        <v>69</v>
      </c>
      <c r="D15" s="6" t="s">
        <v>23</v>
      </c>
      <c r="E15" s="6" t="s">
        <v>55</v>
      </c>
      <c r="F15" s="6" t="s">
        <v>21</v>
      </c>
      <c r="G15" s="19" t="s">
        <v>70</v>
      </c>
      <c r="H15" s="20">
        <v>0.02</v>
      </c>
      <c r="I15" s="21">
        <v>0.03</v>
      </c>
      <c r="J15" s="20">
        <v>0.04</v>
      </c>
      <c r="K15" s="21">
        <v>0.05</v>
      </c>
      <c r="L15" s="20">
        <v>0.06</v>
      </c>
      <c r="M15" s="21">
        <v>0.06</v>
      </c>
      <c r="N15" s="20">
        <v>7.0000000000000007E-2</v>
      </c>
      <c r="O15" s="21">
        <v>0.08</v>
      </c>
      <c r="P15" s="20">
        <v>0.08</v>
      </c>
      <c r="Q15" s="21">
        <v>0.09</v>
      </c>
      <c r="R15" s="20">
        <v>0.1</v>
      </c>
      <c r="S15" s="21">
        <v>0.11</v>
      </c>
      <c r="T15" s="20">
        <v>0.12</v>
      </c>
      <c r="U15" s="47">
        <v>0.18</v>
      </c>
      <c r="V15" s="47">
        <v>0</v>
      </c>
      <c r="W15" s="39" t="s">
        <v>70</v>
      </c>
    </row>
    <row r="16" spans="1:23" x14ac:dyDescent="0.15">
      <c r="A16" s="19" t="s">
        <v>71</v>
      </c>
      <c r="B16" s="19" t="s">
        <v>72</v>
      </c>
      <c r="C16" s="19" t="s">
        <v>73</v>
      </c>
      <c r="D16" s="6" t="s">
        <v>74</v>
      </c>
      <c r="E16" s="6" t="s">
        <v>22</v>
      </c>
      <c r="F16" s="6" t="s">
        <v>25</v>
      </c>
      <c r="G16" s="19" t="s">
        <v>75</v>
      </c>
      <c r="H16" s="20">
        <v>0.02</v>
      </c>
      <c r="I16" s="21">
        <v>0.03</v>
      </c>
      <c r="J16" s="20">
        <v>0.04</v>
      </c>
      <c r="K16" s="21">
        <v>0.05</v>
      </c>
      <c r="L16" s="20">
        <v>0.06</v>
      </c>
      <c r="M16" s="21">
        <v>0.06</v>
      </c>
      <c r="N16" s="20">
        <v>7.0000000000000007E-2</v>
      </c>
      <c r="O16" s="21">
        <v>0.08</v>
      </c>
      <c r="P16" s="20">
        <v>0.08</v>
      </c>
      <c r="Q16" s="21">
        <v>0.09</v>
      </c>
      <c r="R16" s="20">
        <v>0.1</v>
      </c>
      <c r="S16" s="21">
        <v>0.11</v>
      </c>
      <c r="T16" s="20">
        <v>0.12</v>
      </c>
      <c r="U16" s="47">
        <v>0.18</v>
      </c>
      <c r="V16" s="47">
        <v>0</v>
      </c>
      <c r="W16" s="39" t="s">
        <v>75</v>
      </c>
    </row>
    <row r="17" spans="1:23" x14ac:dyDescent="0.15">
      <c r="A17" s="19" t="s">
        <v>76</v>
      </c>
      <c r="B17" s="19" t="s">
        <v>77</v>
      </c>
      <c r="C17" s="19" t="s">
        <v>78</v>
      </c>
      <c r="D17" s="6" t="s">
        <v>79</v>
      </c>
      <c r="E17" s="6" t="s">
        <v>22</v>
      </c>
      <c r="F17" s="6" t="s">
        <v>80</v>
      </c>
      <c r="G17" s="19" t="s">
        <v>81</v>
      </c>
      <c r="H17" s="20">
        <v>0.01</v>
      </c>
      <c r="I17" s="21">
        <v>0.01</v>
      </c>
      <c r="J17" s="20">
        <v>0.01</v>
      </c>
      <c r="K17" s="21">
        <v>0.01</v>
      </c>
      <c r="L17" s="20">
        <v>0.01</v>
      </c>
      <c r="M17" s="21">
        <v>0.01</v>
      </c>
      <c r="N17" s="20">
        <v>0.01</v>
      </c>
      <c r="O17" s="21">
        <v>0.02</v>
      </c>
      <c r="P17" s="20">
        <v>0.02</v>
      </c>
      <c r="Q17" s="21">
        <v>0.02</v>
      </c>
      <c r="R17" s="20">
        <v>0.02</v>
      </c>
      <c r="S17" s="21">
        <v>0.02</v>
      </c>
      <c r="T17" s="20">
        <v>0.02</v>
      </c>
      <c r="U17" s="47">
        <v>0.03</v>
      </c>
      <c r="V17" s="47">
        <v>0</v>
      </c>
      <c r="W17" s="39" t="s">
        <v>81</v>
      </c>
    </row>
    <row r="18" spans="1:23" x14ac:dyDescent="0.15">
      <c r="A18" s="19" t="s">
        <v>82</v>
      </c>
      <c r="B18" s="19" t="s">
        <v>83</v>
      </c>
      <c r="C18" s="19" t="s">
        <v>84</v>
      </c>
      <c r="D18" s="19"/>
      <c r="E18" s="6"/>
      <c r="F18" s="6" t="s">
        <v>36</v>
      </c>
      <c r="G18" s="19" t="s">
        <v>85</v>
      </c>
      <c r="H18" s="20">
        <v>0.01</v>
      </c>
      <c r="I18" s="21">
        <v>0.01</v>
      </c>
      <c r="J18" s="20">
        <v>0.01</v>
      </c>
      <c r="K18" s="21">
        <v>0.02</v>
      </c>
      <c r="L18" s="20">
        <v>0.02</v>
      </c>
      <c r="M18" s="21">
        <v>0.02</v>
      </c>
      <c r="N18" s="20">
        <v>0.03</v>
      </c>
      <c r="O18" s="21">
        <v>0.03</v>
      </c>
      <c r="P18" s="20">
        <v>0.03</v>
      </c>
      <c r="Q18" s="21">
        <v>0.04</v>
      </c>
      <c r="R18" s="20">
        <v>0.04</v>
      </c>
      <c r="S18" s="21">
        <v>0.05</v>
      </c>
      <c r="T18" s="20">
        <v>0.05</v>
      </c>
      <c r="U18" s="47">
        <v>7.4999999999999997E-2</v>
      </c>
      <c r="V18" s="47">
        <v>0</v>
      </c>
      <c r="W18" s="39" t="s">
        <v>85</v>
      </c>
    </row>
    <row r="19" spans="1:23" x14ac:dyDescent="0.15">
      <c r="A19" s="19" t="s">
        <v>86</v>
      </c>
      <c r="B19" s="19" t="s">
        <v>87</v>
      </c>
      <c r="C19" s="19" t="s">
        <v>88</v>
      </c>
      <c r="D19" s="19"/>
      <c r="E19" s="6"/>
      <c r="F19" s="6" t="s">
        <v>41</v>
      </c>
      <c r="G19" s="19" t="s">
        <v>89</v>
      </c>
      <c r="H19" s="20">
        <v>0.01</v>
      </c>
      <c r="I19" s="21">
        <v>0.01</v>
      </c>
      <c r="J19" s="20">
        <v>0.01</v>
      </c>
      <c r="K19" s="21">
        <v>0.02</v>
      </c>
      <c r="L19" s="20">
        <v>0.02</v>
      </c>
      <c r="M19" s="21">
        <v>0.02</v>
      </c>
      <c r="N19" s="20">
        <v>0.03</v>
      </c>
      <c r="O19" s="21">
        <v>0.03</v>
      </c>
      <c r="P19" s="20">
        <v>0.03</v>
      </c>
      <c r="Q19" s="21">
        <v>0.04</v>
      </c>
      <c r="R19" s="20">
        <v>0.04</v>
      </c>
      <c r="S19" s="21">
        <v>0.05</v>
      </c>
      <c r="T19" s="20">
        <v>0.05</v>
      </c>
      <c r="U19" s="47">
        <v>7.4999999999999997E-2</v>
      </c>
      <c r="V19" s="47">
        <v>0</v>
      </c>
      <c r="W19" s="39" t="s">
        <v>89</v>
      </c>
    </row>
    <row r="20" spans="1:23" x14ac:dyDescent="0.15">
      <c r="A20" s="19" t="s">
        <v>90</v>
      </c>
      <c r="B20" s="19" t="s">
        <v>91</v>
      </c>
      <c r="C20" s="19" t="s">
        <v>92</v>
      </c>
      <c r="D20" s="19"/>
      <c r="E20" s="6"/>
      <c r="F20" s="6" t="s">
        <v>93</v>
      </c>
      <c r="G20" s="19" t="s">
        <v>94</v>
      </c>
      <c r="H20" s="22">
        <v>0.01</v>
      </c>
      <c r="I20" s="23">
        <v>0.01</v>
      </c>
      <c r="J20" s="22">
        <v>0.01</v>
      </c>
      <c r="K20" s="23">
        <v>0.01</v>
      </c>
      <c r="L20" s="22">
        <v>0.01</v>
      </c>
      <c r="M20" s="23">
        <v>0.01</v>
      </c>
      <c r="N20" s="22">
        <v>0.01</v>
      </c>
      <c r="O20" s="23">
        <v>0.02</v>
      </c>
      <c r="P20" s="22">
        <v>0.02</v>
      </c>
      <c r="Q20" s="23">
        <v>0.02</v>
      </c>
      <c r="R20" s="22">
        <v>0.02</v>
      </c>
      <c r="S20" s="23">
        <v>0.02</v>
      </c>
      <c r="T20" s="22">
        <v>0.02</v>
      </c>
      <c r="U20" s="48">
        <v>0.03</v>
      </c>
      <c r="V20" s="47">
        <v>0</v>
      </c>
      <c r="W20" s="39" t="s">
        <v>94</v>
      </c>
    </row>
    <row r="21" spans="1:23" x14ac:dyDescent="0.15">
      <c r="E21" s="6"/>
      <c r="F21" s="9"/>
      <c r="H21" s="24">
        <f>SUM(H15:H20)</f>
        <v>0.08</v>
      </c>
      <c r="I21" s="24">
        <f t="shared" ref="I21:T21" si="3">SUM(I15:I20)</f>
        <v>9.9999999999999978E-2</v>
      </c>
      <c r="J21" s="24">
        <f t="shared" si="3"/>
        <v>0.11999999999999998</v>
      </c>
      <c r="K21" s="24">
        <f t="shared" si="3"/>
        <v>0.16</v>
      </c>
      <c r="L21" s="24">
        <f t="shared" si="3"/>
        <v>0.18</v>
      </c>
      <c r="M21" s="24">
        <f t="shared" si="3"/>
        <v>0.18</v>
      </c>
      <c r="N21" s="24">
        <f t="shared" si="3"/>
        <v>0.22000000000000003</v>
      </c>
      <c r="O21" s="24">
        <f t="shared" si="3"/>
        <v>0.26</v>
      </c>
      <c r="P21" s="24">
        <f t="shared" si="3"/>
        <v>0.26</v>
      </c>
      <c r="Q21" s="24">
        <f t="shared" si="3"/>
        <v>0.3</v>
      </c>
      <c r="R21" s="24">
        <f t="shared" si="3"/>
        <v>0.32</v>
      </c>
      <c r="S21" s="24">
        <f t="shared" si="3"/>
        <v>0.36</v>
      </c>
      <c r="T21" s="24">
        <f t="shared" si="3"/>
        <v>0.38</v>
      </c>
      <c r="U21" s="42">
        <f t="shared" ref="U21:V21" si="4">SUM(U15:U20)</f>
        <v>0.57000000000000006</v>
      </c>
      <c r="V21" s="42">
        <f t="shared" si="4"/>
        <v>0</v>
      </c>
    </row>
    <row r="22" spans="1:23" x14ac:dyDescent="0.15">
      <c r="E22" s="6"/>
      <c r="F22" s="9"/>
      <c r="H22" s="12"/>
      <c r="J22" s="12"/>
      <c r="L22" s="12"/>
      <c r="N22" s="12"/>
      <c r="P22" s="12"/>
      <c r="R22" s="12"/>
      <c r="T22" s="12"/>
      <c r="U22" s="44"/>
      <c r="V22" s="44"/>
    </row>
    <row r="23" spans="1:23" x14ac:dyDescent="0.15">
      <c r="A23" s="25" t="s">
        <v>95</v>
      </c>
      <c r="B23" s="25" t="s">
        <v>96</v>
      </c>
      <c r="C23" s="25" t="s">
        <v>97</v>
      </c>
      <c r="D23" s="25"/>
      <c r="E23" s="6"/>
      <c r="F23" s="6" t="s">
        <v>46</v>
      </c>
      <c r="G23" s="25" t="s">
        <v>98</v>
      </c>
      <c r="H23" s="26">
        <v>0.02</v>
      </c>
      <c r="I23" s="27">
        <v>0.03</v>
      </c>
      <c r="J23" s="26">
        <v>0.04</v>
      </c>
      <c r="K23" s="27">
        <v>0.05</v>
      </c>
      <c r="L23" s="26">
        <v>0.06</v>
      </c>
      <c r="M23" s="27">
        <v>0.09</v>
      </c>
      <c r="N23" s="26">
        <v>0.1</v>
      </c>
      <c r="O23" s="27">
        <v>0.11</v>
      </c>
      <c r="P23" s="26">
        <v>0.12</v>
      </c>
      <c r="Q23" s="27">
        <v>0.12</v>
      </c>
      <c r="R23" s="26">
        <v>0.12</v>
      </c>
      <c r="S23" s="27">
        <v>0.12</v>
      </c>
      <c r="T23" s="26">
        <v>0.13</v>
      </c>
      <c r="U23" s="49">
        <v>0.18</v>
      </c>
      <c r="V23" s="49">
        <v>0</v>
      </c>
      <c r="W23" s="40" t="s">
        <v>98</v>
      </c>
    </row>
    <row r="24" spans="1:23" x14ac:dyDescent="0.15">
      <c r="A24" s="25" t="s">
        <v>99</v>
      </c>
      <c r="B24" s="25" t="s">
        <v>100</v>
      </c>
      <c r="C24" s="25" t="s">
        <v>101</v>
      </c>
      <c r="D24" s="25"/>
      <c r="E24" s="6"/>
      <c r="F24" s="6" t="s">
        <v>46</v>
      </c>
      <c r="G24" s="25" t="s">
        <v>102</v>
      </c>
      <c r="H24" s="26">
        <v>0.01</v>
      </c>
      <c r="I24" s="27">
        <v>0.01</v>
      </c>
      <c r="J24" s="26">
        <v>0.01</v>
      </c>
      <c r="K24" s="27">
        <v>0.01</v>
      </c>
      <c r="L24" s="26">
        <v>0.02</v>
      </c>
      <c r="M24" s="27">
        <v>0.03</v>
      </c>
      <c r="N24" s="26">
        <v>0.03</v>
      </c>
      <c r="O24" s="27">
        <v>0.03</v>
      </c>
      <c r="P24" s="26">
        <v>0.04</v>
      </c>
      <c r="Q24" s="27">
        <v>0.04</v>
      </c>
      <c r="R24" s="26">
        <v>0.05</v>
      </c>
      <c r="S24" s="27">
        <v>0.05</v>
      </c>
      <c r="T24" s="26">
        <v>0.06</v>
      </c>
      <c r="U24" s="49">
        <v>0.09</v>
      </c>
      <c r="V24" s="49">
        <v>0</v>
      </c>
      <c r="W24" s="40" t="s">
        <v>102</v>
      </c>
    </row>
    <row r="25" spans="1:23" x14ac:dyDescent="0.15">
      <c r="A25" s="25" t="s">
        <v>103</v>
      </c>
      <c r="B25" s="25" t="s">
        <v>104</v>
      </c>
      <c r="C25" s="25" t="s">
        <v>105</v>
      </c>
      <c r="D25" s="25"/>
      <c r="E25" s="6"/>
      <c r="F25" s="6" t="s">
        <v>50</v>
      </c>
      <c r="G25" s="25" t="s">
        <v>106</v>
      </c>
      <c r="H25" s="26">
        <v>0.01</v>
      </c>
      <c r="I25" s="27">
        <v>0.01</v>
      </c>
      <c r="J25" s="26">
        <v>0.01</v>
      </c>
      <c r="K25" s="27">
        <v>0.01</v>
      </c>
      <c r="L25" s="26">
        <v>0.02</v>
      </c>
      <c r="M25" s="27">
        <v>0.02</v>
      </c>
      <c r="N25" s="26">
        <v>0.02</v>
      </c>
      <c r="O25" s="27">
        <v>0.02</v>
      </c>
      <c r="P25" s="26">
        <v>0.03</v>
      </c>
      <c r="Q25" s="27">
        <v>0.03</v>
      </c>
      <c r="R25" s="26">
        <v>0.04</v>
      </c>
      <c r="S25" s="27">
        <v>0.04</v>
      </c>
      <c r="T25" s="26">
        <v>0.04</v>
      </c>
      <c r="U25" s="49">
        <v>0.06</v>
      </c>
      <c r="V25" s="49">
        <v>0</v>
      </c>
      <c r="W25" s="40" t="s">
        <v>106</v>
      </c>
    </row>
    <row r="26" spans="1:23" x14ac:dyDescent="0.15">
      <c r="A26" s="25" t="s">
        <v>107</v>
      </c>
      <c r="B26" s="25" t="s">
        <v>104</v>
      </c>
      <c r="C26" s="25" t="s">
        <v>105</v>
      </c>
      <c r="D26" s="25"/>
      <c r="E26" s="6"/>
      <c r="F26" s="6" t="s">
        <v>50</v>
      </c>
      <c r="G26" s="25" t="s">
        <v>108</v>
      </c>
      <c r="H26" s="26">
        <v>0.01</v>
      </c>
      <c r="I26" s="27">
        <v>0.01</v>
      </c>
      <c r="J26" s="26">
        <v>0.01</v>
      </c>
      <c r="K26" s="27">
        <v>0.01</v>
      </c>
      <c r="L26" s="26">
        <v>0.01</v>
      </c>
      <c r="M26" s="27">
        <v>0.01</v>
      </c>
      <c r="N26" s="26">
        <v>0.01</v>
      </c>
      <c r="O26" s="27">
        <v>0.01</v>
      </c>
      <c r="P26" s="26">
        <v>0.01</v>
      </c>
      <c r="Q26" s="27">
        <v>0.01</v>
      </c>
      <c r="R26" s="26">
        <v>0.01</v>
      </c>
      <c r="S26" s="27">
        <v>0.02</v>
      </c>
      <c r="T26" s="26">
        <v>0.02</v>
      </c>
      <c r="U26" s="49">
        <v>0.03</v>
      </c>
      <c r="V26" s="49">
        <v>0</v>
      </c>
      <c r="W26" s="40" t="s">
        <v>108</v>
      </c>
    </row>
    <row r="27" spans="1:23" x14ac:dyDescent="0.15">
      <c r="A27" s="25" t="s">
        <v>109</v>
      </c>
      <c r="B27" s="25" t="s">
        <v>104</v>
      </c>
      <c r="C27" s="25" t="s">
        <v>105</v>
      </c>
      <c r="D27" s="25"/>
      <c r="E27" s="6"/>
      <c r="F27" s="6" t="s">
        <v>50</v>
      </c>
      <c r="G27" s="25" t="s">
        <v>110</v>
      </c>
      <c r="H27" s="26">
        <v>0.01</v>
      </c>
      <c r="I27" s="27">
        <v>0.01</v>
      </c>
      <c r="J27" s="26">
        <v>0.01</v>
      </c>
      <c r="K27" s="27">
        <v>0.01</v>
      </c>
      <c r="L27" s="26">
        <v>0.01</v>
      </c>
      <c r="M27" s="27">
        <v>0.01</v>
      </c>
      <c r="N27" s="26">
        <v>0.01</v>
      </c>
      <c r="O27" s="27">
        <v>0.01</v>
      </c>
      <c r="P27" s="26">
        <v>0.02</v>
      </c>
      <c r="Q27" s="27">
        <v>0.03</v>
      </c>
      <c r="R27" s="26">
        <v>0.04</v>
      </c>
      <c r="S27" s="27">
        <v>0.04</v>
      </c>
      <c r="T27" s="26">
        <v>0.05</v>
      </c>
      <c r="U27" s="49">
        <v>7.0000000000000007E-2</v>
      </c>
      <c r="V27" s="49">
        <v>0</v>
      </c>
      <c r="W27" s="40" t="s">
        <v>110</v>
      </c>
    </row>
    <row r="28" spans="1:23" x14ac:dyDescent="0.15">
      <c r="E28" s="6"/>
      <c r="F28" s="9"/>
      <c r="H28" s="28">
        <f>SUM(H23:H27)</f>
        <v>6.0000000000000005E-2</v>
      </c>
      <c r="I28" s="28">
        <f t="shared" ref="I28:T28" si="5">SUM(I23:I27)</f>
        <v>7.0000000000000007E-2</v>
      </c>
      <c r="J28" s="28">
        <f t="shared" si="5"/>
        <v>0.08</v>
      </c>
      <c r="K28" s="28">
        <f t="shared" si="5"/>
        <v>0.09</v>
      </c>
      <c r="L28" s="28">
        <f t="shared" si="5"/>
        <v>0.12</v>
      </c>
      <c r="M28" s="28">
        <f t="shared" si="5"/>
        <v>0.16</v>
      </c>
      <c r="N28" s="28">
        <f t="shared" si="5"/>
        <v>0.17</v>
      </c>
      <c r="O28" s="28">
        <f t="shared" si="5"/>
        <v>0.18000000000000002</v>
      </c>
      <c r="P28" s="28">
        <f t="shared" si="5"/>
        <v>0.22</v>
      </c>
      <c r="Q28" s="28">
        <f t="shared" si="5"/>
        <v>0.23</v>
      </c>
      <c r="R28" s="28">
        <f t="shared" si="5"/>
        <v>0.26</v>
      </c>
      <c r="S28" s="28">
        <f t="shared" si="5"/>
        <v>0.26999999999999996</v>
      </c>
      <c r="T28" s="28">
        <f t="shared" si="5"/>
        <v>0.3</v>
      </c>
      <c r="U28" s="50">
        <f t="shared" ref="U28:V28" si="6">SUM(U23:U27)</f>
        <v>0.43</v>
      </c>
      <c r="V28" s="50">
        <f t="shared" si="6"/>
        <v>0</v>
      </c>
    </row>
    <row r="29" spans="1:23" x14ac:dyDescent="0.15">
      <c r="E29" s="6"/>
      <c r="F29" s="9"/>
      <c r="H29" s="12"/>
      <c r="J29" s="12"/>
      <c r="L29" s="12"/>
      <c r="N29" s="12"/>
      <c r="P29" s="12"/>
      <c r="R29" s="12"/>
      <c r="T29" s="12"/>
      <c r="U29" s="44"/>
      <c r="V29" s="44"/>
    </row>
    <row r="30" spans="1:23" x14ac:dyDescent="0.15">
      <c r="A30" s="29" t="s">
        <v>111</v>
      </c>
      <c r="B30" s="29" t="s">
        <v>112</v>
      </c>
      <c r="C30" s="29" t="s">
        <v>113</v>
      </c>
      <c r="D30" s="29"/>
      <c r="E30" s="6"/>
      <c r="F30" s="6" t="s">
        <v>25</v>
      </c>
      <c r="G30" s="29" t="s">
        <v>114</v>
      </c>
      <c r="H30" s="30">
        <v>0.01</v>
      </c>
      <c r="I30" s="31">
        <v>0.02</v>
      </c>
      <c r="J30" s="30">
        <v>0.02</v>
      </c>
      <c r="K30" s="31">
        <v>0.02</v>
      </c>
      <c r="L30" s="30">
        <v>0.02</v>
      </c>
      <c r="M30" s="31">
        <v>0.02</v>
      </c>
      <c r="N30" s="30">
        <v>0.02</v>
      </c>
      <c r="O30" s="31">
        <v>0.02</v>
      </c>
      <c r="P30" s="30">
        <v>0.02</v>
      </c>
      <c r="Q30" s="31">
        <v>0.02</v>
      </c>
      <c r="R30" s="30">
        <v>0.02</v>
      </c>
      <c r="S30" s="31">
        <v>0.02</v>
      </c>
      <c r="T30" s="30">
        <v>0.02</v>
      </c>
      <c r="U30" s="51">
        <v>0</v>
      </c>
      <c r="V30" s="51">
        <v>0</v>
      </c>
      <c r="W30" s="41" t="s">
        <v>114</v>
      </c>
    </row>
    <row r="31" spans="1:23" x14ac:dyDescent="0.15">
      <c r="A31" s="29" t="s">
        <v>115</v>
      </c>
      <c r="B31" s="29" t="s">
        <v>116</v>
      </c>
      <c r="C31" s="29" t="s">
        <v>117</v>
      </c>
      <c r="D31" s="29"/>
      <c r="E31" s="6"/>
      <c r="F31" s="6" t="s">
        <v>79</v>
      </c>
      <c r="G31" s="29" t="s">
        <v>118</v>
      </c>
      <c r="H31" s="30">
        <v>0.01</v>
      </c>
      <c r="I31" s="31">
        <v>0.01</v>
      </c>
      <c r="J31" s="30">
        <v>0.01</v>
      </c>
      <c r="K31" s="31">
        <v>0.01</v>
      </c>
      <c r="L31" s="30">
        <v>0.01</v>
      </c>
      <c r="M31" s="31">
        <v>0.02</v>
      </c>
      <c r="N31" s="30">
        <v>0.02</v>
      </c>
      <c r="O31" s="31">
        <v>0.02</v>
      </c>
      <c r="P31" s="30">
        <v>0.02</v>
      </c>
      <c r="Q31" s="31">
        <v>0.02</v>
      </c>
      <c r="R31" s="30">
        <v>0.02</v>
      </c>
      <c r="S31" s="31">
        <v>0.02</v>
      </c>
      <c r="T31" s="30">
        <v>0.02</v>
      </c>
      <c r="U31" s="51">
        <v>0</v>
      </c>
      <c r="V31" s="51">
        <v>0</v>
      </c>
      <c r="W31" s="41" t="s">
        <v>118</v>
      </c>
    </row>
    <row r="32" spans="1:23" x14ac:dyDescent="0.15">
      <c r="A32" s="29" t="s">
        <v>119</v>
      </c>
      <c r="B32" s="29" t="s">
        <v>120</v>
      </c>
      <c r="C32" s="29" t="s">
        <v>121</v>
      </c>
      <c r="D32" s="29"/>
      <c r="E32" s="6"/>
      <c r="F32" s="6" t="s">
        <v>79</v>
      </c>
      <c r="G32" s="29" t="s">
        <v>122</v>
      </c>
      <c r="H32" s="30">
        <v>0.02</v>
      </c>
      <c r="I32" s="31">
        <v>0.03</v>
      </c>
      <c r="J32" s="30">
        <v>0.04</v>
      </c>
      <c r="K32" s="31">
        <v>0.04</v>
      </c>
      <c r="L32" s="30">
        <v>0.04</v>
      </c>
      <c r="M32" s="31">
        <v>0.04</v>
      </c>
      <c r="N32" s="30">
        <v>0.04</v>
      </c>
      <c r="O32" s="31">
        <v>0.04</v>
      </c>
      <c r="P32" s="30">
        <v>0.04</v>
      </c>
      <c r="Q32" s="31">
        <v>0.04</v>
      </c>
      <c r="R32" s="30">
        <v>0.04</v>
      </c>
      <c r="S32" s="31">
        <v>0.04</v>
      </c>
      <c r="T32" s="30">
        <v>0.04</v>
      </c>
      <c r="U32" s="51">
        <v>0</v>
      </c>
      <c r="V32" s="51">
        <v>0</v>
      </c>
      <c r="W32" s="41" t="s">
        <v>122</v>
      </c>
    </row>
    <row r="33" spans="1:24" x14ac:dyDescent="0.15">
      <c r="A33" s="29" t="s">
        <v>123</v>
      </c>
      <c r="B33" s="29" t="s">
        <v>124</v>
      </c>
      <c r="C33" s="29" t="s">
        <v>125</v>
      </c>
      <c r="D33" s="29"/>
      <c r="E33" s="6"/>
      <c r="F33" s="6" t="s">
        <v>79</v>
      </c>
      <c r="G33" s="29" t="s">
        <v>126</v>
      </c>
      <c r="H33" s="30">
        <v>0.01</v>
      </c>
      <c r="I33" s="31">
        <v>0.01</v>
      </c>
      <c r="J33" s="30">
        <v>0.01</v>
      </c>
      <c r="K33" s="31">
        <v>0.01</v>
      </c>
      <c r="L33" s="30">
        <v>0.01</v>
      </c>
      <c r="M33" s="31">
        <v>0.01</v>
      </c>
      <c r="N33" s="30">
        <v>0.01</v>
      </c>
      <c r="O33" s="31">
        <v>0.01</v>
      </c>
      <c r="P33" s="30">
        <v>0.01</v>
      </c>
      <c r="Q33" s="31">
        <v>0.01</v>
      </c>
      <c r="R33" s="30">
        <v>0.01</v>
      </c>
      <c r="S33" s="31">
        <v>0.01</v>
      </c>
      <c r="T33" s="30">
        <v>0.01</v>
      </c>
      <c r="U33" s="51">
        <v>0</v>
      </c>
      <c r="V33" s="51">
        <v>0</v>
      </c>
      <c r="W33" s="41" t="s">
        <v>126</v>
      </c>
    </row>
    <row r="34" spans="1:24" ht="12" thickBot="1" x14ac:dyDescent="0.2">
      <c r="A34" s="29" t="s">
        <v>127</v>
      </c>
      <c r="B34" s="29" t="s">
        <v>128</v>
      </c>
      <c r="C34" s="29" t="s">
        <v>129</v>
      </c>
      <c r="D34" s="29"/>
      <c r="E34" s="6"/>
      <c r="F34" s="6" t="s">
        <v>74</v>
      </c>
      <c r="G34" s="29" t="s">
        <v>130</v>
      </c>
      <c r="H34" s="32">
        <v>0.01</v>
      </c>
      <c r="I34" s="33">
        <v>0.01</v>
      </c>
      <c r="J34" s="32">
        <v>0.02</v>
      </c>
      <c r="K34" s="33">
        <v>0.02</v>
      </c>
      <c r="L34" s="32">
        <v>0.02</v>
      </c>
      <c r="M34" s="33">
        <v>0.02</v>
      </c>
      <c r="N34" s="32">
        <v>0.02</v>
      </c>
      <c r="O34" s="33">
        <v>0.02</v>
      </c>
      <c r="P34" s="32">
        <v>0.03</v>
      </c>
      <c r="Q34" s="33">
        <v>0.03</v>
      </c>
      <c r="R34" s="32">
        <v>0.03</v>
      </c>
      <c r="S34" s="33">
        <v>0.03</v>
      </c>
      <c r="T34" s="32">
        <v>0.03</v>
      </c>
      <c r="U34" s="51">
        <v>0</v>
      </c>
      <c r="V34" s="51">
        <v>0</v>
      </c>
      <c r="W34" s="41" t="s">
        <v>130</v>
      </c>
    </row>
    <row r="35" spans="1:24" x14ac:dyDescent="0.15">
      <c r="H35" s="34">
        <f>SUM(H30:H34)</f>
        <v>6.0000000000000005E-2</v>
      </c>
      <c r="I35" s="34">
        <f t="shared" ref="I35:T35" si="7">SUM(I30:I34)</f>
        <v>7.9999999999999988E-2</v>
      </c>
      <c r="J35" s="34">
        <f t="shared" si="7"/>
        <v>0.1</v>
      </c>
      <c r="K35" s="34">
        <f t="shared" si="7"/>
        <v>0.1</v>
      </c>
      <c r="L35" s="34">
        <f t="shared" si="7"/>
        <v>0.1</v>
      </c>
      <c r="M35" s="34">
        <f t="shared" si="7"/>
        <v>0.11</v>
      </c>
      <c r="N35" s="34">
        <f t="shared" si="7"/>
        <v>0.11</v>
      </c>
      <c r="O35" s="34">
        <f t="shared" si="7"/>
        <v>0.11</v>
      </c>
      <c r="P35" s="34">
        <f t="shared" si="7"/>
        <v>0.12</v>
      </c>
      <c r="Q35" s="34">
        <f t="shared" si="7"/>
        <v>0.12</v>
      </c>
      <c r="R35" s="34">
        <f t="shared" si="7"/>
        <v>0.12</v>
      </c>
      <c r="S35" s="34">
        <f t="shared" si="7"/>
        <v>0.12</v>
      </c>
      <c r="T35" s="34">
        <f t="shared" si="7"/>
        <v>0.12</v>
      </c>
      <c r="U35" s="52">
        <f t="shared" ref="U35:V35" si="8">SUM(U30:U34)</f>
        <v>0</v>
      </c>
      <c r="V35" s="52">
        <f t="shared" si="8"/>
        <v>0</v>
      </c>
    </row>
    <row r="36" spans="1:24" x14ac:dyDescent="0.15">
      <c r="H36" s="12"/>
      <c r="J36" s="12"/>
      <c r="L36" s="12"/>
      <c r="N36" s="12"/>
      <c r="P36" s="12"/>
      <c r="R36" s="12"/>
      <c r="T36" s="12"/>
      <c r="U36" s="44"/>
      <c r="V36" s="44"/>
    </row>
    <row r="37" spans="1:24" x14ac:dyDescent="0.15">
      <c r="H37" s="35">
        <f>SUM(H3,H13,H21,H28,H35)</f>
        <v>1</v>
      </c>
      <c r="I37" s="35">
        <f t="shared" ref="I37:T37" si="9">SUM(I3,I13,I21,I28,I35)</f>
        <v>0.99999999999999989</v>
      </c>
      <c r="J37" s="35">
        <f t="shared" si="9"/>
        <v>1.0000000000000002</v>
      </c>
      <c r="K37" s="35">
        <f t="shared" si="9"/>
        <v>1.0000000000000002</v>
      </c>
      <c r="L37" s="35">
        <f t="shared" si="9"/>
        <v>1</v>
      </c>
      <c r="M37" s="35">
        <f t="shared" si="9"/>
        <v>1</v>
      </c>
      <c r="N37" s="35">
        <f t="shared" si="9"/>
        <v>1.0000000000000002</v>
      </c>
      <c r="O37" s="35">
        <f t="shared" si="9"/>
        <v>1.0000000000000002</v>
      </c>
      <c r="P37" s="35">
        <f t="shared" si="9"/>
        <v>1</v>
      </c>
      <c r="Q37" s="35">
        <f t="shared" si="9"/>
        <v>1</v>
      </c>
      <c r="R37" s="35">
        <f t="shared" si="9"/>
        <v>1</v>
      </c>
      <c r="S37" s="35">
        <f t="shared" si="9"/>
        <v>1</v>
      </c>
      <c r="T37" s="35">
        <f t="shared" si="9"/>
        <v>1</v>
      </c>
      <c r="U37" s="53">
        <f t="shared" ref="U37:V37" si="10">SUM(U3,U13,U21,U28,U35)</f>
        <v>1</v>
      </c>
      <c r="V37" s="53">
        <f t="shared" si="10"/>
        <v>1</v>
      </c>
      <c r="W37" s="36">
        <f>COUNTIF(W2:W34, "&lt;&gt;"&amp;"")</f>
        <v>25</v>
      </c>
      <c r="X37" s="56" t="s">
        <v>133</v>
      </c>
    </row>
  </sheetData>
  <pageMargins left="0.25" right="0.25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Fraenkel</dc:creator>
  <cp:lastModifiedBy>Bernard Fraenkel</cp:lastModifiedBy>
  <dcterms:created xsi:type="dcterms:W3CDTF">2018-11-16T19:22:57Z</dcterms:created>
  <dcterms:modified xsi:type="dcterms:W3CDTF">2023-11-08T03:45:31Z</dcterms:modified>
</cp:coreProperties>
</file>