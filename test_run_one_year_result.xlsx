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fraenkel/Documents/Code/Financial_Plan/"/>
    </mc:Choice>
  </mc:AlternateContent>
  <xr:revisionPtr revIDLastSave="0" documentId="13_ncr:1_{89CC9B39-4111-9943-AF6B-BA3EF6CF91DB}" xr6:coauthVersionLast="47" xr6:coauthVersionMax="47" xr10:uidLastSave="{00000000-0000-0000-0000-000000000000}"/>
  <bookViews>
    <workbookView xWindow="240" yWindow="500" windowWidth="27980" windowHeight="19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" l="1"/>
  <c r="E39" i="1"/>
  <c r="F39" i="1"/>
  <c r="G39" i="1"/>
  <c r="H39" i="1"/>
  <c r="I39" i="1"/>
  <c r="J39" i="1"/>
  <c r="K39" i="1"/>
  <c r="L39" i="1"/>
  <c r="C39" i="1"/>
  <c r="B39" i="1"/>
  <c r="A57" i="1"/>
  <c r="A58" i="1"/>
  <c r="A59" i="1"/>
  <c r="A60" i="1"/>
  <c r="A61" i="1"/>
  <c r="A62" i="1"/>
  <c r="A63" i="1"/>
  <c r="A64" i="1"/>
  <c r="A65" i="1"/>
  <c r="A56" i="1"/>
  <c r="A43" i="1"/>
  <c r="A44" i="1"/>
  <c r="A45" i="1"/>
  <c r="A46" i="1"/>
  <c r="A47" i="1"/>
  <c r="A48" i="1"/>
  <c r="A49" i="1"/>
  <c r="A50" i="1"/>
  <c r="A51" i="1"/>
  <c r="A52" i="1"/>
  <c r="B12" i="1"/>
  <c r="B3" i="1"/>
  <c r="B4" i="1"/>
  <c r="B5" i="1"/>
  <c r="B6" i="1"/>
  <c r="B7" i="1"/>
  <c r="B8" i="1"/>
  <c r="B9" i="1"/>
  <c r="B10" i="1"/>
  <c r="B11" i="1"/>
  <c r="B2" i="1"/>
  <c r="A53" i="1"/>
  <c r="A28" i="1"/>
  <c r="A29" i="1"/>
  <c r="A30" i="1"/>
  <c r="A31" i="1"/>
  <c r="A32" i="1"/>
  <c r="A33" i="1"/>
  <c r="A34" i="1"/>
  <c r="A35" i="1"/>
  <c r="A36" i="1"/>
  <c r="A27" i="1"/>
  <c r="D12" i="1"/>
  <c r="E12" i="1"/>
  <c r="F12" i="1"/>
  <c r="G12" i="1"/>
  <c r="H12" i="1"/>
  <c r="I12" i="1"/>
  <c r="J12" i="1"/>
  <c r="K12" i="1"/>
  <c r="L12" i="1"/>
  <c r="C12" i="1"/>
  <c r="A39" i="1"/>
  <c r="A38" i="1"/>
  <c r="D27" i="1"/>
  <c r="E27" i="1"/>
  <c r="F27" i="1"/>
  <c r="G27" i="1"/>
  <c r="H27" i="1"/>
  <c r="I27" i="1"/>
  <c r="J27" i="1"/>
  <c r="K27" i="1"/>
  <c r="L27" i="1"/>
  <c r="D28" i="1"/>
  <c r="E28" i="1"/>
  <c r="F28" i="1"/>
  <c r="G28" i="1"/>
  <c r="H28" i="1"/>
  <c r="I28" i="1"/>
  <c r="J28" i="1"/>
  <c r="K28" i="1"/>
  <c r="L28" i="1"/>
  <c r="D29" i="1"/>
  <c r="E29" i="1"/>
  <c r="F29" i="1"/>
  <c r="G29" i="1"/>
  <c r="H29" i="1"/>
  <c r="I29" i="1"/>
  <c r="J29" i="1"/>
  <c r="K29" i="1"/>
  <c r="L29" i="1"/>
  <c r="D30" i="1"/>
  <c r="E30" i="1"/>
  <c r="F30" i="1"/>
  <c r="G30" i="1"/>
  <c r="H30" i="1"/>
  <c r="I30" i="1"/>
  <c r="J30" i="1"/>
  <c r="K30" i="1"/>
  <c r="L30" i="1"/>
  <c r="D31" i="1"/>
  <c r="E31" i="1"/>
  <c r="F31" i="1"/>
  <c r="G31" i="1"/>
  <c r="H31" i="1"/>
  <c r="I31" i="1"/>
  <c r="J31" i="1"/>
  <c r="K31" i="1"/>
  <c r="L31" i="1"/>
  <c r="D32" i="1"/>
  <c r="E32" i="1"/>
  <c r="F32" i="1"/>
  <c r="G32" i="1"/>
  <c r="H32" i="1"/>
  <c r="I32" i="1"/>
  <c r="J32" i="1"/>
  <c r="K32" i="1"/>
  <c r="L32" i="1"/>
  <c r="D33" i="1"/>
  <c r="E33" i="1"/>
  <c r="F33" i="1"/>
  <c r="G33" i="1"/>
  <c r="H33" i="1"/>
  <c r="I33" i="1"/>
  <c r="J33" i="1"/>
  <c r="K33" i="1"/>
  <c r="L33" i="1"/>
  <c r="D34" i="1"/>
  <c r="E34" i="1"/>
  <c r="F34" i="1"/>
  <c r="G34" i="1"/>
  <c r="H34" i="1"/>
  <c r="I34" i="1"/>
  <c r="J34" i="1"/>
  <c r="K34" i="1"/>
  <c r="L34" i="1"/>
  <c r="D35" i="1"/>
  <c r="E35" i="1"/>
  <c r="F35" i="1"/>
  <c r="G35" i="1"/>
  <c r="H35" i="1"/>
  <c r="I35" i="1"/>
  <c r="J35" i="1"/>
  <c r="K35" i="1"/>
  <c r="L35" i="1"/>
  <c r="D36" i="1"/>
  <c r="E36" i="1"/>
  <c r="F36" i="1"/>
  <c r="G36" i="1"/>
  <c r="H36" i="1"/>
  <c r="I36" i="1"/>
  <c r="J36" i="1"/>
  <c r="K36" i="1"/>
  <c r="L36" i="1"/>
  <c r="D37" i="1"/>
  <c r="E37" i="1"/>
  <c r="F37" i="1"/>
  <c r="G37" i="1"/>
  <c r="H37" i="1"/>
  <c r="I37" i="1"/>
  <c r="J37" i="1"/>
  <c r="K37" i="1"/>
  <c r="L37" i="1"/>
  <c r="D38" i="1"/>
  <c r="E38" i="1"/>
  <c r="F38" i="1"/>
  <c r="G38" i="1"/>
  <c r="H38" i="1"/>
  <c r="I38" i="1"/>
  <c r="J38" i="1"/>
  <c r="K38" i="1"/>
  <c r="L38" i="1"/>
  <c r="E40" i="1"/>
  <c r="J40" i="1"/>
  <c r="K40" i="1"/>
  <c r="C38" i="1"/>
  <c r="C36" i="1"/>
  <c r="C35" i="1"/>
  <c r="C34" i="1"/>
  <c r="C33" i="1"/>
  <c r="C32" i="1"/>
  <c r="C31" i="1"/>
  <c r="C30" i="1"/>
  <c r="C29" i="1"/>
  <c r="C28" i="1"/>
  <c r="C27" i="1"/>
  <c r="K46" i="1" l="1"/>
  <c r="K59" i="1" s="1"/>
  <c r="E47" i="1"/>
  <c r="E60" i="1" s="1"/>
  <c r="E49" i="1"/>
  <c r="E62" i="1" s="1"/>
  <c r="K49" i="1"/>
  <c r="K62" i="1" s="1"/>
  <c r="J50" i="1"/>
  <c r="J63" i="1" s="1"/>
  <c r="J51" i="1"/>
  <c r="J64" i="1" s="1"/>
  <c r="E52" i="1"/>
  <c r="E65" i="1" s="1"/>
  <c r="J52" i="1"/>
  <c r="J65" i="1" s="1"/>
  <c r="E43" i="1"/>
  <c r="J43" i="1"/>
  <c r="K43" i="1"/>
  <c r="E44" i="1"/>
  <c r="E57" i="1" s="1"/>
  <c r="J44" i="1"/>
  <c r="J57" i="1" s="1"/>
  <c r="K44" i="1"/>
  <c r="K57" i="1" s="1"/>
  <c r="E45" i="1"/>
  <c r="E58" i="1" s="1"/>
  <c r="J45" i="1"/>
  <c r="J58" i="1" s="1"/>
  <c r="E46" i="1"/>
  <c r="E59" i="1" s="1"/>
  <c r="J47" i="1"/>
  <c r="J60" i="1" s="1"/>
  <c r="K52" i="1"/>
  <c r="K65" i="1" s="1"/>
  <c r="K45" i="1"/>
  <c r="K58" i="1" s="1"/>
  <c r="J46" i="1"/>
  <c r="J59" i="1" s="1"/>
  <c r="K47" i="1"/>
  <c r="K60" i="1" s="1"/>
  <c r="E48" i="1"/>
  <c r="E61" i="1" s="1"/>
  <c r="J48" i="1"/>
  <c r="J61" i="1" s="1"/>
  <c r="K48" i="1"/>
  <c r="K61" i="1" s="1"/>
  <c r="J49" i="1"/>
  <c r="J62" i="1" s="1"/>
  <c r="E50" i="1"/>
  <c r="E63" i="1" s="1"/>
  <c r="K50" i="1"/>
  <c r="K63" i="1" s="1"/>
  <c r="K51" i="1"/>
  <c r="K64" i="1" s="1"/>
  <c r="E51" i="1"/>
  <c r="E64" i="1" s="1"/>
  <c r="C37" i="1"/>
  <c r="D40" i="1"/>
  <c r="F40" i="1"/>
  <c r="G40" i="1"/>
  <c r="H40" i="1"/>
  <c r="E53" i="1" l="1"/>
  <c r="E56" i="1"/>
  <c r="J53" i="1"/>
  <c r="J56" i="1"/>
  <c r="K56" i="1"/>
  <c r="K53" i="1"/>
  <c r="D52" i="1"/>
  <c r="D65" i="1" s="1"/>
  <c r="D48" i="1"/>
  <c r="D61" i="1" s="1"/>
  <c r="D50" i="1"/>
  <c r="D63" i="1" s="1"/>
  <c r="D43" i="1"/>
  <c r="D46" i="1"/>
  <c r="D59" i="1" s="1"/>
  <c r="D44" i="1"/>
  <c r="D57" i="1" s="1"/>
  <c r="D47" i="1"/>
  <c r="D60" i="1" s="1"/>
  <c r="D45" i="1"/>
  <c r="D58" i="1" s="1"/>
  <c r="D49" i="1"/>
  <c r="D62" i="1" s="1"/>
  <c r="D51" i="1"/>
  <c r="D64" i="1" s="1"/>
  <c r="F46" i="1"/>
  <c r="F59" i="1" s="1"/>
  <c r="F50" i="1"/>
  <c r="F63" i="1" s="1"/>
  <c r="F51" i="1"/>
  <c r="F64" i="1" s="1"/>
  <c r="F43" i="1"/>
  <c r="F45" i="1"/>
  <c r="F58" i="1" s="1"/>
  <c r="F44" i="1"/>
  <c r="F57" i="1" s="1"/>
  <c r="F52" i="1"/>
  <c r="F65" i="1" s="1"/>
  <c r="F47" i="1"/>
  <c r="F60" i="1" s="1"/>
  <c r="F48" i="1"/>
  <c r="F61" i="1" s="1"/>
  <c r="F49" i="1"/>
  <c r="F62" i="1" s="1"/>
  <c r="G44" i="1"/>
  <c r="G57" i="1" s="1"/>
  <c r="G50" i="1"/>
  <c r="G63" i="1" s="1"/>
  <c r="G51" i="1"/>
  <c r="G64" i="1" s="1"/>
  <c r="G47" i="1"/>
  <c r="G60" i="1" s="1"/>
  <c r="G43" i="1"/>
  <c r="G52" i="1"/>
  <c r="G65" i="1" s="1"/>
  <c r="G49" i="1"/>
  <c r="G62" i="1" s="1"/>
  <c r="G48" i="1"/>
  <c r="G61" i="1" s="1"/>
  <c r="G45" i="1"/>
  <c r="G58" i="1" s="1"/>
  <c r="G46" i="1"/>
  <c r="G59" i="1" s="1"/>
  <c r="H51" i="1"/>
  <c r="H64" i="1" s="1"/>
  <c r="H47" i="1"/>
  <c r="H60" i="1" s="1"/>
  <c r="H48" i="1"/>
  <c r="H61" i="1" s="1"/>
  <c r="H52" i="1"/>
  <c r="H65" i="1" s="1"/>
  <c r="H43" i="1"/>
  <c r="H49" i="1"/>
  <c r="H62" i="1" s="1"/>
  <c r="H50" i="1"/>
  <c r="H63" i="1" s="1"/>
  <c r="H45" i="1"/>
  <c r="H58" i="1" s="1"/>
  <c r="H44" i="1"/>
  <c r="H57" i="1" s="1"/>
  <c r="H46" i="1"/>
  <c r="H59" i="1" s="1"/>
  <c r="L40" i="1"/>
  <c r="I40" i="1"/>
  <c r="D56" i="1" l="1"/>
  <c r="D53" i="1"/>
  <c r="F56" i="1"/>
  <c r="F53" i="1"/>
  <c r="G56" i="1"/>
  <c r="G53" i="1"/>
  <c r="H56" i="1"/>
  <c r="H53" i="1"/>
  <c r="L44" i="1"/>
  <c r="L45" i="1"/>
  <c r="L48" i="1"/>
  <c r="L50" i="1"/>
  <c r="L43" i="1"/>
  <c r="L46" i="1"/>
  <c r="L47" i="1"/>
  <c r="L51" i="1"/>
  <c r="L49" i="1"/>
  <c r="L52" i="1"/>
  <c r="I43" i="1"/>
  <c r="I47" i="1"/>
  <c r="I60" i="1" s="1"/>
  <c r="I48" i="1"/>
  <c r="I61" i="1" s="1"/>
  <c r="I49" i="1"/>
  <c r="I62" i="1" s="1"/>
  <c r="I45" i="1"/>
  <c r="I58" i="1" s="1"/>
  <c r="I46" i="1"/>
  <c r="I59" i="1" s="1"/>
  <c r="I44" i="1"/>
  <c r="I57" i="1" s="1"/>
  <c r="I50" i="1"/>
  <c r="I63" i="1" s="1"/>
  <c r="I51" i="1"/>
  <c r="I64" i="1" s="1"/>
  <c r="I52" i="1"/>
  <c r="I65" i="1" s="1"/>
  <c r="C40" i="1"/>
  <c r="I56" i="1" l="1"/>
  <c r="I53" i="1"/>
  <c r="L53" i="1"/>
  <c r="C44" i="1"/>
  <c r="C57" i="1" s="1"/>
  <c r="C47" i="1"/>
  <c r="C60" i="1" s="1"/>
  <c r="C50" i="1"/>
  <c r="C63" i="1" s="1"/>
  <c r="C51" i="1"/>
  <c r="C64" i="1" s="1"/>
  <c r="C43" i="1"/>
  <c r="C56" i="1" s="1"/>
  <c r="C45" i="1"/>
  <c r="C58" i="1" s="1"/>
  <c r="C46" i="1"/>
  <c r="C59" i="1" s="1"/>
  <c r="C48" i="1"/>
  <c r="C61" i="1" s="1"/>
  <c r="C49" i="1"/>
  <c r="C62" i="1" s="1"/>
  <c r="C52" i="1"/>
  <c r="C65" i="1" s="1"/>
  <c r="C53" i="1" l="1"/>
</calcChain>
</file>

<file path=xl/sharedStrings.xml><?xml version="1.0" encoding="utf-8"?>
<sst xmlns="http://schemas.openxmlformats.org/spreadsheetml/2006/main" count="39" uniqueCount="38">
  <si>
    <t>Year_0</t>
  </si>
  <si>
    <t>Year_1</t>
  </si>
  <si>
    <t>Year_2</t>
  </si>
  <si>
    <t>Year_3</t>
  </si>
  <si>
    <t>Year_4</t>
  </si>
  <si>
    <t>Year_5</t>
  </si>
  <si>
    <t>Year_6</t>
  </si>
  <si>
    <t>Year_7</t>
  </si>
  <si>
    <t>Year_8</t>
  </si>
  <si>
    <t>Year_9</t>
  </si>
  <si>
    <t>U.S. Lg Cap Growth</t>
  </si>
  <si>
    <t>U.S. Lg Cap Val</t>
  </si>
  <si>
    <t>U.S. Mid Cap Growth</t>
  </si>
  <si>
    <t>U.S. Sm Cap Growth</t>
  </si>
  <si>
    <t>U.S. Sm Cap Val</t>
  </si>
  <si>
    <t>Foreign Industrialzed Mkts Stocks</t>
  </si>
  <si>
    <t>Emerging Mkts Stks</t>
  </si>
  <si>
    <t>U.S. Investment Grade Bonds</t>
  </si>
  <si>
    <t>U.S. High Yield Bonds</t>
  </si>
  <si>
    <t>Non-U.S. Bonds</t>
  </si>
  <si>
    <t>RoR_0</t>
  </si>
  <si>
    <t>RoR_1</t>
  </si>
  <si>
    <t>RoR_2</t>
  </si>
  <si>
    <t>RoR_3</t>
  </si>
  <si>
    <t>RoR_4</t>
  </si>
  <si>
    <t>RoR_5</t>
  </si>
  <si>
    <t>RoR_6</t>
  </si>
  <si>
    <t>RoR_7</t>
  </si>
  <si>
    <t>RoR_8</t>
  </si>
  <si>
    <t>RoR_9</t>
  </si>
  <si>
    <t>Cashflow</t>
  </si>
  <si>
    <t>Mgt_Fee</t>
  </si>
  <si>
    <t>Computed Portfolio Value</t>
  </si>
  <si>
    <t>sub-total</t>
  </si>
  <si>
    <t>Rebalance</t>
  </si>
  <si>
    <t>sub_total</t>
  </si>
  <si>
    <t>% Alloc</t>
  </si>
  <si>
    <t>Delta Post Rebalance vs Start next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</si>
</sst>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65" fontId="0" fillId="0" borderId="0" xfId="1" applyNumberFormat="1" applyFont="1"/>
    <xf numFmtId="43" fontId="0" fillId="0" borderId="0" xfId="1" applyNumberFormat="1" applyFont="1"/>
    <xf numFmtId="165" fontId="2" fillId="0" borderId="0" xfId="1" applyNumberFormat="1" applyFont="1"/>
    <xf numFmtId="0" fontId="0" fillId="0" borderId="0" xfId="0" applyFont="1"/>
    <xf numFmtId="0" fontId="1" fillId="0" borderId="0" xfId="0" applyFont="1"/>
    <xf numFmtId="165" fontId="0" fillId="0" borderId="0" xfId="0" applyNumberFormat="1"/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0" fillId="2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tabSelected="1" workbookViewId="0">
      <pane xSplit="12" ySplit="1" topLeftCell="M22" activePane="bottomRight" state="frozen"/>
      <selection pane="topRight" activeCell="M1" sqref="M1"/>
      <selection pane="bottomLeft" activeCell="A2" sqref="A2"/>
      <selection pane="bottomRight" activeCell="A56" sqref="A56"/>
    </sheetView>
  </sheetViews>
  <sheetFormatPr baseColWidth="10" defaultColWidth="8.83203125" defaultRowHeight="15" x14ac:dyDescent="0.2"/>
  <cols>
    <col min="1" max="1" width="27.1640625" bestFit="1" customWidth="1"/>
    <col min="2" max="2" width="12.1640625" bestFit="1" customWidth="1"/>
    <col min="3" max="3" width="17.33203125" bestFit="1" customWidth="1"/>
    <col min="4" max="12" width="12.6640625" bestFit="1" customWidth="1"/>
  </cols>
  <sheetData>
    <row r="1" spans="1:12" x14ac:dyDescent="0.2">
      <c r="B1" t="s">
        <v>36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">
      <c r="A2" s="1" t="s">
        <v>10</v>
      </c>
      <c r="B2" s="9">
        <f>C2/$C$12</f>
        <v>7.1826227096676076E-2</v>
      </c>
      <c r="C2" s="3">
        <v>265572.37</v>
      </c>
      <c r="D2" s="3">
        <v>265894.76031813241</v>
      </c>
      <c r="E2" s="3">
        <v>266217.55507942737</v>
      </c>
      <c r="F2" s="3">
        <v>266540.75479126489</v>
      </c>
      <c r="G2" s="3">
        <v>266864.35996166081</v>
      </c>
      <c r="H2" s="3">
        <v>267188.37109926861</v>
      </c>
      <c r="I2" s="3">
        <v>267512.7887133797</v>
      </c>
      <c r="J2" s="3">
        <v>267837.61331392481</v>
      </c>
      <c r="K2" s="3">
        <v>268162.845411474</v>
      </c>
      <c r="L2" s="3">
        <v>268488.48551723792</v>
      </c>
    </row>
    <row r="3" spans="1:12" x14ac:dyDescent="0.2">
      <c r="A3" s="1" t="s">
        <v>11</v>
      </c>
      <c r="B3" s="9">
        <f t="shared" ref="B3:B11" si="0">C3/$C$12</f>
        <v>0.24261385870640659</v>
      </c>
      <c r="C3" s="3">
        <v>897047.5</v>
      </c>
      <c r="D3" s="3">
        <v>898136.46655516094</v>
      </c>
      <c r="E3" s="3">
        <v>899226.79923409468</v>
      </c>
      <c r="F3" s="3">
        <v>900318.49975062232</v>
      </c>
      <c r="G3" s="3">
        <v>901411.56982071546</v>
      </c>
      <c r="H3" s="3">
        <v>902506.01116249815</v>
      </c>
      <c r="I3" s="3">
        <v>903601.82549624983</v>
      </c>
      <c r="J3" s="3">
        <v>904699.01454440819</v>
      </c>
      <c r="K3" s="3">
        <v>905797.58003157179</v>
      </c>
      <c r="L3" s="3">
        <v>906897.52368450246</v>
      </c>
    </row>
    <row r="4" spans="1:12" x14ac:dyDescent="0.2">
      <c r="A4" s="1" t="s">
        <v>12</v>
      </c>
      <c r="B4" s="9">
        <f t="shared" si="0"/>
        <v>1.9985682321147415E-2</v>
      </c>
      <c r="C4" s="3">
        <v>73895.64</v>
      </c>
      <c r="D4" s="3">
        <v>73985.345261462979</v>
      </c>
      <c r="E4" s="3">
        <v>74075.163059431012</v>
      </c>
      <c r="F4" s="3">
        <v>74165.093535082677</v>
      </c>
      <c r="G4" s="3">
        <v>74255.136829773735</v>
      </c>
      <c r="H4" s="3">
        <v>74345.293085037236</v>
      </c>
      <c r="I4" s="3">
        <v>74435.562442583803</v>
      </c>
      <c r="J4" s="3">
        <v>74525.945044301843</v>
      </c>
      <c r="K4" s="3">
        <v>74616.441032257731</v>
      </c>
      <c r="L4" s="3">
        <v>74707.050548696105</v>
      </c>
    </row>
    <row r="5" spans="1:12" x14ac:dyDescent="0.2">
      <c r="A5" s="1" t="s">
        <v>13</v>
      </c>
      <c r="B5" s="9">
        <f t="shared" si="0"/>
        <v>3.647324196167849E-2</v>
      </c>
      <c r="C5" s="3">
        <v>134857.22</v>
      </c>
      <c r="D5" s="3">
        <v>135020.92928217509</v>
      </c>
      <c r="E5" s="3">
        <v>135184.84393993419</v>
      </c>
      <c r="F5" s="3">
        <v>135348.9642309238</v>
      </c>
      <c r="G5" s="3">
        <v>135513.29041311369</v>
      </c>
      <c r="H5" s="3">
        <v>135677.82274479719</v>
      </c>
      <c r="I5" s="3">
        <v>135842.5614845918</v>
      </c>
      <c r="J5" s="3">
        <v>136007.50689143941</v>
      </c>
      <c r="K5" s="3">
        <v>136172.65922460661</v>
      </c>
      <c r="L5" s="3">
        <v>136338.01874368539</v>
      </c>
    </row>
    <row r="6" spans="1:12" x14ac:dyDescent="0.2">
      <c r="A6" s="1" t="s">
        <v>14</v>
      </c>
      <c r="B6" s="9">
        <f t="shared" si="0"/>
        <v>0.16293351445162194</v>
      </c>
      <c r="C6" s="3">
        <v>602435.09</v>
      </c>
      <c r="D6" s="3">
        <v>603166.41321829706</v>
      </c>
      <c r="E6" s="3">
        <v>603898.65389179916</v>
      </c>
      <c r="F6" s="3">
        <v>604631.81317146646</v>
      </c>
      <c r="G6" s="3">
        <v>605365.89220970345</v>
      </c>
      <c r="H6" s="3">
        <v>606100.89216036</v>
      </c>
      <c r="I6" s="3">
        <v>606836.81417873362</v>
      </c>
      <c r="J6" s="3">
        <v>607573.65942157118</v>
      </c>
      <c r="K6" s="3">
        <v>608311.42904707068</v>
      </c>
      <c r="L6" s="3">
        <v>609050.12421488308</v>
      </c>
    </row>
    <row r="7" spans="1:12" x14ac:dyDescent="0.2">
      <c r="A7" s="1" t="s">
        <v>15</v>
      </c>
      <c r="B7" s="9">
        <f t="shared" si="0"/>
        <v>0.16732164206872263</v>
      </c>
      <c r="C7" s="3">
        <v>618659.88</v>
      </c>
      <c r="D7" s="3">
        <v>619410.89922511333</v>
      </c>
      <c r="E7" s="3">
        <v>620162.86061434774</v>
      </c>
      <c r="F7" s="3">
        <v>620915.765349661</v>
      </c>
      <c r="G7" s="3">
        <v>621669.61461449414</v>
      </c>
      <c r="H7" s="3">
        <v>622424.40959377261</v>
      </c>
      <c r="I7" s="3">
        <v>623180.15147390845</v>
      </c>
      <c r="J7" s="3">
        <v>623936.84144280187</v>
      </c>
      <c r="K7" s="3">
        <v>624694.48068984377</v>
      </c>
      <c r="L7" s="3">
        <v>625453.07040591654</v>
      </c>
    </row>
    <row r="8" spans="1:12" x14ac:dyDescent="0.2">
      <c r="A8" s="1" t="s">
        <v>16</v>
      </c>
      <c r="B8" s="9">
        <f t="shared" si="0"/>
        <v>0.13669394316120095</v>
      </c>
      <c r="C8" s="3">
        <v>505416.14</v>
      </c>
      <c r="D8" s="3">
        <v>506029.68752440478</v>
      </c>
      <c r="E8" s="3">
        <v>506644.00475275959</v>
      </c>
      <c r="F8" s="3">
        <v>507259.09265066852</v>
      </c>
      <c r="G8" s="3">
        <v>507874.95218494732</v>
      </c>
      <c r="H8" s="3">
        <v>508491.58432362467</v>
      </c>
      <c r="I8" s="3">
        <v>509108.99003594369</v>
      </c>
      <c r="J8" s="3">
        <v>509727.17029236321</v>
      </c>
      <c r="K8" s="3">
        <v>510346.12606455968</v>
      </c>
      <c r="L8" s="3">
        <v>510965.8583254285</v>
      </c>
    </row>
    <row r="9" spans="1:12" x14ac:dyDescent="0.2">
      <c r="A9" s="1" t="s">
        <v>17</v>
      </c>
      <c r="B9" s="9">
        <f t="shared" si="0"/>
        <v>7.1229666610522255E-2</v>
      </c>
      <c r="C9" s="3">
        <v>263366.63</v>
      </c>
      <c r="D9" s="3">
        <v>263686.34267052799</v>
      </c>
      <c r="E9" s="3">
        <v>264006.45642507228</v>
      </c>
      <c r="F9" s="3">
        <v>264326.97176679858</v>
      </c>
      <c r="G9" s="3">
        <v>264647.88919950341</v>
      </c>
      <c r="H9" s="3">
        <v>264969.20922761562</v>
      </c>
      <c r="I9" s="3">
        <v>265290.93235619669</v>
      </c>
      <c r="J9" s="3">
        <v>265613.05909094203</v>
      </c>
      <c r="K9" s="3">
        <v>265935.58993818093</v>
      </c>
      <c r="L9" s="3">
        <v>266258.52540487831</v>
      </c>
    </row>
    <row r="10" spans="1:12" x14ac:dyDescent="0.2">
      <c r="A10" s="1" t="s">
        <v>18</v>
      </c>
      <c r="B10" s="9">
        <f t="shared" si="0"/>
        <v>6.7033466955644772E-2</v>
      </c>
      <c r="C10" s="3">
        <v>247851.48</v>
      </c>
      <c r="D10" s="3">
        <v>248152.3581278217</v>
      </c>
      <c r="E10" s="3">
        <v>248453.61371146259</v>
      </c>
      <c r="F10" s="3">
        <v>248755.24722444621</v>
      </c>
      <c r="G10" s="3">
        <v>249057.25914089021</v>
      </c>
      <c r="H10" s="3">
        <v>249359.64993550701</v>
      </c>
      <c r="I10" s="3">
        <v>249662.42008360449</v>
      </c>
      <c r="J10" s="3">
        <v>249965.5700610872</v>
      </c>
      <c r="K10" s="3">
        <v>250269.10034445621</v>
      </c>
      <c r="L10" s="3">
        <v>250573.01141081049</v>
      </c>
    </row>
    <row r="11" spans="1:12" x14ac:dyDescent="0.2">
      <c r="A11" s="1" t="s">
        <v>19</v>
      </c>
      <c r="B11" s="9">
        <f t="shared" si="0"/>
        <v>2.3888756666378984E-2</v>
      </c>
      <c r="C11" s="3">
        <v>88326.98000000001</v>
      </c>
      <c r="D11" s="3">
        <v>88434.204118163616</v>
      </c>
      <c r="E11" s="3">
        <v>88541.562750483004</v>
      </c>
      <c r="F11" s="3">
        <v>88649.056065708035</v>
      </c>
      <c r="G11" s="3">
        <v>88756.684232800326</v>
      </c>
      <c r="H11" s="3">
        <v>88864.4474209334</v>
      </c>
      <c r="I11" s="3">
        <v>88972.345799493065</v>
      </c>
      <c r="J11" s="3">
        <v>89080.379538077599</v>
      </c>
      <c r="K11" s="3">
        <v>89188.548806498045</v>
      </c>
      <c r="L11" s="3">
        <v>89296.853774778458</v>
      </c>
    </row>
    <row r="12" spans="1:12" x14ac:dyDescent="0.2">
      <c r="A12" s="1" t="s">
        <v>35</v>
      </c>
      <c r="B12" s="9">
        <f>SUM(B2:B11)</f>
        <v>1</v>
      </c>
      <c r="C12" s="3">
        <f>SUM(C2:C11)</f>
        <v>3697428.9299999997</v>
      </c>
      <c r="D12" s="3">
        <f t="shared" ref="D12:L12" si="1">SUM(D2:D11)</f>
        <v>3701917.40630126</v>
      </c>
      <c r="E12" s="3">
        <f t="shared" si="1"/>
        <v>3706411.5134588117</v>
      </c>
      <c r="F12" s="3">
        <f t="shared" si="1"/>
        <v>3710911.2585366429</v>
      </c>
      <c r="G12" s="3">
        <f t="shared" si="1"/>
        <v>3715416.6486076019</v>
      </c>
      <c r="H12" s="3">
        <f t="shared" si="1"/>
        <v>3719927.6907534143</v>
      </c>
      <c r="I12" s="3">
        <f t="shared" si="1"/>
        <v>3724444.392064685</v>
      </c>
      <c r="J12" s="3">
        <f t="shared" si="1"/>
        <v>3728966.7596409172</v>
      </c>
      <c r="K12" s="3">
        <f t="shared" si="1"/>
        <v>3733494.8005905189</v>
      </c>
      <c r="L12" s="3">
        <f t="shared" si="1"/>
        <v>3738028.5220308173</v>
      </c>
    </row>
    <row r="13" spans="1:12" x14ac:dyDescent="0.2">
      <c r="A13" s="1" t="s">
        <v>20</v>
      </c>
      <c r="B13" s="9"/>
      <c r="C13" s="4">
        <v>0.90999234328269707</v>
      </c>
      <c r="D13" s="4">
        <v>0.90999234328269707</v>
      </c>
      <c r="E13" s="4">
        <v>0.90999234328269707</v>
      </c>
      <c r="F13" s="4">
        <v>0.90999234328269707</v>
      </c>
      <c r="G13" s="4">
        <v>0.90999234328269707</v>
      </c>
      <c r="H13" s="4">
        <v>0.90999234328269707</v>
      </c>
      <c r="I13" s="4">
        <v>0.90999234328269707</v>
      </c>
      <c r="J13" s="4">
        <v>0.90999234328269707</v>
      </c>
      <c r="K13" s="4">
        <v>0.90999234328269707</v>
      </c>
      <c r="L13" s="4">
        <v>0.90999234328269707</v>
      </c>
    </row>
    <row r="14" spans="1:12" x14ac:dyDescent="0.2">
      <c r="A14" s="1" t="s">
        <v>21</v>
      </c>
      <c r="B14" s="9"/>
      <c r="C14" s="4">
        <v>1.230025434080869</v>
      </c>
      <c r="D14" s="4">
        <v>1.230025434080869</v>
      </c>
      <c r="E14" s="4">
        <v>1.230025434080869</v>
      </c>
      <c r="F14" s="4">
        <v>1.230025434080869</v>
      </c>
      <c r="G14" s="4">
        <v>1.230025434080869</v>
      </c>
      <c r="H14" s="4">
        <v>1.230025434080869</v>
      </c>
      <c r="I14" s="4">
        <v>1.230025434080869</v>
      </c>
      <c r="J14" s="4">
        <v>1.230025434080869</v>
      </c>
      <c r="K14" s="4">
        <v>1.230025434080869</v>
      </c>
      <c r="L14" s="4">
        <v>1.230025434080869</v>
      </c>
    </row>
    <row r="15" spans="1:12" x14ac:dyDescent="0.2">
      <c r="A15" s="1" t="s">
        <v>22</v>
      </c>
      <c r="B15" s="9"/>
      <c r="C15" s="4">
        <v>0.88937247262449881</v>
      </c>
      <c r="D15" s="4">
        <v>0.88937247262449881</v>
      </c>
      <c r="E15" s="4">
        <v>0.88937247262449881</v>
      </c>
      <c r="F15" s="4">
        <v>0.88937247262449881</v>
      </c>
      <c r="G15" s="4">
        <v>0.88937247262449881</v>
      </c>
      <c r="H15" s="4">
        <v>0.88937247262449881</v>
      </c>
      <c r="I15" s="4">
        <v>0.88937247262449881</v>
      </c>
      <c r="J15" s="4">
        <v>0.88937247262449881</v>
      </c>
      <c r="K15" s="4">
        <v>0.88937247262449881</v>
      </c>
      <c r="L15" s="4">
        <v>0.88937247262449881</v>
      </c>
    </row>
    <row r="16" spans="1:12" x14ac:dyDescent="0.2">
      <c r="A16" s="1" t="s">
        <v>23</v>
      </c>
      <c r="B16" s="9"/>
      <c r="C16" s="4">
        <v>0.88572740292689278</v>
      </c>
      <c r="D16" s="4">
        <v>0.88572740292689278</v>
      </c>
      <c r="E16" s="4">
        <v>0.88572740292689278</v>
      </c>
      <c r="F16" s="4">
        <v>0.88572740292689278</v>
      </c>
      <c r="G16" s="4">
        <v>0.88572740292689278</v>
      </c>
      <c r="H16" s="4">
        <v>0.88572740292689278</v>
      </c>
      <c r="I16" s="4">
        <v>0.88572740292689278</v>
      </c>
      <c r="J16" s="4">
        <v>0.88572740292689278</v>
      </c>
      <c r="K16" s="4">
        <v>0.88572740292689278</v>
      </c>
      <c r="L16" s="4">
        <v>0.88572740292689278</v>
      </c>
    </row>
    <row r="17" spans="1:12" x14ac:dyDescent="0.2">
      <c r="A17" s="1" t="s">
        <v>24</v>
      </c>
      <c r="B17" s="9"/>
      <c r="C17" s="4">
        <v>0.97973985758530768</v>
      </c>
      <c r="D17" s="4">
        <v>0.97973985758530768</v>
      </c>
      <c r="E17" s="4">
        <v>0.97973985758530768</v>
      </c>
      <c r="F17" s="4">
        <v>0.97973985758530768</v>
      </c>
      <c r="G17" s="4">
        <v>0.97973985758530768</v>
      </c>
      <c r="H17" s="4">
        <v>0.97973985758530768</v>
      </c>
      <c r="I17" s="4">
        <v>0.97973985758530768</v>
      </c>
      <c r="J17" s="4">
        <v>0.97973985758530768</v>
      </c>
      <c r="K17" s="4">
        <v>0.97973985758530768</v>
      </c>
      <c r="L17" s="4">
        <v>0.97973985758530768</v>
      </c>
    </row>
    <row r="18" spans="1:12" x14ac:dyDescent="0.2">
      <c r="A18" s="1" t="s">
        <v>25</v>
      </c>
      <c r="B18" s="9"/>
      <c r="C18" s="4">
        <v>0.86435186289501653</v>
      </c>
      <c r="D18" s="4">
        <v>0.86435186289501653</v>
      </c>
      <c r="E18" s="4">
        <v>0.86435186289501653</v>
      </c>
      <c r="F18" s="4">
        <v>0.86435186289501653</v>
      </c>
      <c r="G18" s="4">
        <v>0.86435186289501653</v>
      </c>
      <c r="H18" s="4">
        <v>0.86435186289501653</v>
      </c>
      <c r="I18" s="4">
        <v>0.86435186289501653</v>
      </c>
      <c r="J18" s="4">
        <v>0.86435186289501653</v>
      </c>
      <c r="K18" s="4">
        <v>0.86435186289501653</v>
      </c>
      <c r="L18" s="4">
        <v>0.86435186289501653</v>
      </c>
    </row>
    <row r="19" spans="1:12" x14ac:dyDescent="0.2">
      <c r="A19" s="1" t="s">
        <v>26</v>
      </c>
      <c r="B19" s="9"/>
      <c r="C19" s="4">
        <v>1.0189222323536919</v>
      </c>
      <c r="D19" s="4">
        <v>1.0189222323536919</v>
      </c>
      <c r="E19" s="4">
        <v>1.0189222323536919</v>
      </c>
      <c r="F19" s="4">
        <v>1.0189222323536919</v>
      </c>
      <c r="G19" s="4">
        <v>1.0189222323536919</v>
      </c>
      <c r="H19" s="4">
        <v>1.0189222323536919</v>
      </c>
      <c r="I19" s="4">
        <v>1.0189222323536919</v>
      </c>
      <c r="J19" s="4">
        <v>1.0189222323536919</v>
      </c>
      <c r="K19" s="4">
        <v>1.0189222323536919</v>
      </c>
      <c r="L19" s="4">
        <v>1.0189222323536919</v>
      </c>
    </row>
    <row r="20" spans="1:12" x14ac:dyDescent="0.2">
      <c r="A20" s="1" t="s">
        <v>27</v>
      </c>
      <c r="B20" s="9"/>
      <c r="C20" s="4">
        <v>0.89073547914414131</v>
      </c>
      <c r="D20" s="4">
        <v>0.89073547914414131</v>
      </c>
      <c r="E20" s="4">
        <v>0.89073547914414131</v>
      </c>
      <c r="F20" s="4">
        <v>0.89073547914414131</v>
      </c>
      <c r="G20" s="4">
        <v>0.89073547914414131</v>
      </c>
      <c r="H20" s="4">
        <v>0.89073547914414131</v>
      </c>
      <c r="I20" s="4">
        <v>0.89073547914414131</v>
      </c>
      <c r="J20" s="4">
        <v>0.89073547914414131</v>
      </c>
      <c r="K20" s="4">
        <v>0.89073547914414131</v>
      </c>
      <c r="L20" s="4">
        <v>0.89073547914414131</v>
      </c>
    </row>
    <row r="21" spans="1:12" x14ac:dyDescent="0.2">
      <c r="A21" s="1" t="s">
        <v>28</v>
      </c>
      <c r="B21" s="9"/>
      <c r="C21" s="4">
        <v>0.94899970264778588</v>
      </c>
      <c r="D21" s="4">
        <v>0.94899970264778588</v>
      </c>
      <c r="E21" s="4">
        <v>0.94899970264778588</v>
      </c>
      <c r="F21" s="4">
        <v>0.94899970264778588</v>
      </c>
      <c r="G21" s="4">
        <v>0.94899970264778588</v>
      </c>
      <c r="H21" s="4">
        <v>0.94899970264778588</v>
      </c>
      <c r="I21" s="4">
        <v>0.94899970264778588</v>
      </c>
      <c r="J21" s="4">
        <v>0.94899970264778588</v>
      </c>
      <c r="K21" s="4">
        <v>0.94899970264778588</v>
      </c>
      <c r="L21" s="4">
        <v>0.94899970264778588</v>
      </c>
    </row>
    <row r="22" spans="1:12" x14ac:dyDescent="0.2">
      <c r="A22" s="1" t="s">
        <v>29</v>
      </c>
      <c r="B22" s="9"/>
      <c r="C22" s="4">
        <v>0.99841292167904294</v>
      </c>
      <c r="D22" s="4">
        <v>0.99841292167904294</v>
      </c>
      <c r="E22" s="4">
        <v>0.99841292167904294</v>
      </c>
      <c r="F22" s="4">
        <v>0.99841292167904294</v>
      </c>
      <c r="G22" s="4">
        <v>0.99841292167904294</v>
      </c>
      <c r="H22" s="4">
        <v>0.99841292167904294</v>
      </c>
      <c r="I22" s="4">
        <v>0.99841292167904294</v>
      </c>
      <c r="J22" s="4">
        <v>0.99841292167904294</v>
      </c>
      <c r="K22" s="4">
        <v>0.99841292167904294</v>
      </c>
      <c r="L22" s="4">
        <v>0.99841292167904294</v>
      </c>
    </row>
    <row r="23" spans="1:12" x14ac:dyDescent="0.2">
      <c r="A23" s="1" t="s">
        <v>30</v>
      </c>
      <c r="B23" s="9"/>
      <c r="C23" s="3">
        <v>150</v>
      </c>
      <c r="D23" s="3">
        <v>150</v>
      </c>
      <c r="E23" s="3">
        <v>150</v>
      </c>
      <c r="F23" s="3">
        <v>150</v>
      </c>
      <c r="G23" s="3">
        <v>150</v>
      </c>
      <c r="H23" s="3">
        <v>150</v>
      </c>
      <c r="I23" s="3">
        <v>150</v>
      </c>
      <c r="J23" s="3">
        <v>150</v>
      </c>
      <c r="K23" s="3">
        <v>150</v>
      </c>
      <c r="L23" s="3">
        <v>150</v>
      </c>
    </row>
    <row r="24" spans="1:12" x14ac:dyDescent="0.2">
      <c r="A24" s="1" t="s">
        <v>31</v>
      </c>
      <c r="B24" s="9"/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1:12" x14ac:dyDescent="0.2">
      <c r="A25" s="1" t="s">
        <v>32</v>
      </c>
      <c r="B25" s="9"/>
      <c r="C25" s="3">
        <v>3701917.40630126</v>
      </c>
      <c r="D25" s="3">
        <v>3706411.5134588121</v>
      </c>
      <c r="E25" s="3">
        <v>3710911.258536642</v>
      </c>
      <c r="F25" s="3">
        <v>3715416.6486076019</v>
      </c>
      <c r="G25" s="3">
        <v>3719927.6907534138</v>
      </c>
      <c r="H25" s="3">
        <v>3724444.392064685</v>
      </c>
      <c r="I25" s="3">
        <v>3728966.7596409172</v>
      </c>
      <c r="J25" s="3">
        <v>3733494.8005905189</v>
      </c>
      <c r="K25" s="3">
        <v>3738028.5220308169</v>
      </c>
      <c r="L25" s="3">
        <v>3742567.9310880671</v>
      </c>
    </row>
    <row r="26" spans="1:12" x14ac:dyDescent="0.2"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x14ac:dyDescent="0.2">
      <c r="A27" s="1" t="str">
        <f>A2</f>
        <v>U.S. Lg Cap Growth</v>
      </c>
      <c r="B27" s="9"/>
      <c r="C27" s="3">
        <f>C2*C13</f>
        <v>241668.82328743945</v>
      </c>
      <c r="D27" s="3">
        <f t="shared" ref="D27:L27" si="2">D2*D13</f>
        <v>241962.19600848842</v>
      </c>
      <c r="E27" s="3">
        <f t="shared" si="2"/>
        <v>242255.9367697186</v>
      </c>
      <c r="F27" s="3">
        <f t="shared" si="2"/>
        <v>242550.0460328419</v>
      </c>
      <c r="G27" s="3">
        <f t="shared" si="2"/>
        <v>242844.52426014887</v>
      </c>
      <c r="H27" s="3">
        <f t="shared" si="2"/>
        <v>243139.3719145103</v>
      </c>
      <c r="I27" s="3">
        <f t="shared" si="2"/>
        <v>243434.58945937743</v>
      </c>
      <c r="J27" s="3">
        <f t="shared" si="2"/>
        <v>243730.17735878334</v>
      </c>
      <c r="K27" s="3">
        <f t="shared" si="2"/>
        <v>244026.13607734288</v>
      </c>
      <c r="L27" s="3">
        <f t="shared" si="2"/>
        <v>244322.4660802538</v>
      </c>
    </row>
    <row r="28" spans="1:12" x14ac:dyDescent="0.2">
      <c r="A28" s="1" t="str">
        <f t="shared" ref="A28:A36" si="3">A3</f>
        <v>U.S. Lg Cap Val</v>
      </c>
      <c r="B28" s="9"/>
      <c r="C28" s="3">
        <f>C3*C14</f>
        <v>1103391.2405786582</v>
      </c>
      <c r="D28" s="3">
        <f t="shared" ref="D28:L28" si="4">D3*D14</f>
        <v>1104730.6971383698</v>
      </c>
      <c r="E28" s="3">
        <f t="shared" si="4"/>
        <v>1106071.8340650678</v>
      </c>
      <c r="F28" s="3">
        <f t="shared" si="4"/>
        <v>1107414.6534667958</v>
      </c>
      <c r="G28" s="3">
        <f t="shared" si="4"/>
        <v>1108759.1574542432</v>
      </c>
      <c r="H28" s="3">
        <f t="shared" si="4"/>
        <v>1110105.3481407454</v>
      </c>
      <c r="I28" s="3">
        <f t="shared" si="4"/>
        <v>1111453.2276422903</v>
      </c>
      <c r="J28" s="3">
        <f t="shared" si="4"/>
        <v>1112802.79807752</v>
      </c>
      <c r="K28" s="3">
        <f t="shared" si="4"/>
        <v>1114154.0615677347</v>
      </c>
      <c r="L28" s="3">
        <f t="shared" si="4"/>
        <v>1115507.0202368952</v>
      </c>
    </row>
    <row r="29" spans="1:12" x14ac:dyDescent="0.2">
      <c r="A29" s="1" t="str">
        <f t="shared" si="3"/>
        <v>U.S. Mid Cap Growth</v>
      </c>
      <c r="B29" s="9"/>
      <c r="C29" s="3">
        <f>C4*C15</f>
        <v>65720.748062969826</v>
      </c>
      <c r="D29" s="3">
        <f t="shared" ref="D29:L29" si="5">D4*D15</f>
        <v>65800.529453164578</v>
      </c>
      <c r="E29" s="3">
        <f t="shared" si="5"/>
        <v>65880.410930229089</v>
      </c>
      <c r="F29" s="3">
        <f t="shared" si="5"/>
        <v>65960.392619723716</v>
      </c>
      <c r="G29" s="3">
        <f t="shared" si="5"/>
        <v>66040.474647366354</v>
      </c>
      <c r="H29" s="3">
        <f t="shared" si="5"/>
        <v>66120.657139032613</v>
      </c>
      <c r="I29" s="3">
        <f t="shared" si="5"/>
        <v>66200.940220756034</v>
      </c>
      <c r="J29" s="3">
        <f t="shared" si="5"/>
        <v>66281.32401872825</v>
      </c>
      <c r="K29" s="3">
        <f t="shared" si="5"/>
        <v>66361.808659299175</v>
      </c>
      <c r="L29" s="3">
        <f t="shared" si="5"/>
        <v>66442.394268977281</v>
      </c>
    </row>
    <row r="30" spans="1:12" x14ac:dyDescent="0.2">
      <c r="A30" s="1" t="str">
        <f t="shared" si="3"/>
        <v>U.S. Sm Cap Growth</v>
      </c>
      <c r="B30" s="9"/>
      <c r="C30" s="3">
        <f>C5*C16</f>
        <v>119446.73523654063</v>
      </c>
      <c r="D30" s="3">
        <f t="shared" ref="D30:L30" si="6">D5*D16</f>
        <v>119591.73703387659</v>
      </c>
      <c r="E30" s="3">
        <f t="shared" si="6"/>
        <v>119736.92073799521</v>
      </c>
      <c r="F30" s="3">
        <f t="shared" si="6"/>
        <v>119882.28657710104</v>
      </c>
      <c r="G30" s="3">
        <f t="shared" si="6"/>
        <v>120027.83477968498</v>
      </c>
      <c r="H30" s="3">
        <f t="shared" si="6"/>
        <v>120173.56557452452</v>
      </c>
      <c r="I30" s="3">
        <f t="shared" si="6"/>
        <v>120319.47919068424</v>
      </c>
      <c r="J30" s="3">
        <f t="shared" si="6"/>
        <v>120465.5758575161</v>
      </c>
      <c r="K30" s="3">
        <f t="shared" si="6"/>
        <v>120611.8558046596</v>
      </c>
      <c r="L30" s="3">
        <f t="shared" si="6"/>
        <v>120758.31926204248</v>
      </c>
    </row>
    <row r="31" spans="1:12" x14ac:dyDescent="0.2">
      <c r="A31" s="1" t="str">
        <f t="shared" si="3"/>
        <v>U.S. Sm Cap Val</v>
      </c>
      <c r="B31" s="9"/>
      <c r="C31" s="3">
        <f>C6*C17</f>
        <v>590229.66928099201</v>
      </c>
      <c r="D31" s="3">
        <f t="shared" ref="D31:L31" si="7">D6*D17</f>
        <v>590946.17578673526</v>
      </c>
      <c r="E31" s="3">
        <f t="shared" si="7"/>
        <v>591663.5811599103</v>
      </c>
      <c r="F31" s="3">
        <f t="shared" si="7"/>
        <v>592381.88652815891</v>
      </c>
      <c r="G31" s="3">
        <f t="shared" si="7"/>
        <v>593101.09302053764</v>
      </c>
      <c r="H31" s="3">
        <f t="shared" si="7"/>
        <v>593821.201767519</v>
      </c>
      <c r="I31" s="3">
        <f t="shared" si="7"/>
        <v>594542.21390099428</v>
      </c>
      <c r="J31" s="3">
        <f t="shared" si="7"/>
        <v>595264.13055427442</v>
      </c>
      <c r="K31" s="3">
        <f t="shared" si="7"/>
        <v>595986.95286209206</v>
      </c>
      <c r="L31" s="3">
        <f t="shared" si="7"/>
        <v>596710.68196060346</v>
      </c>
    </row>
    <row r="32" spans="1:12" x14ac:dyDescent="0.2">
      <c r="A32" s="1" t="str">
        <f t="shared" si="3"/>
        <v>Foreign Industrialzed Mkts Stocks</v>
      </c>
      <c r="B32" s="9"/>
      <c r="C32" s="3">
        <f>C7*C18</f>
        <v>534739.81977640733</v>
      </c>
      <c r="D32" s="3">
        <f t="shared" ref="D32:L32" si="8">D7*D18</f>
        <v>535388.96464270412</v>
      </c>
      <c r="E32" s="3">
        <f t="shared" si="8"/>
        <v>536038.92387031391</v>
      </c>
      <c r="F32" s="3">
        <f t="shared" si="8"/>
        <v>536689.6984808644</v>
      </c>
      <c r="G32" s="3">
        <f t="shared" si="8"/>
        <v>537341.28949726501</v>
      </c>
      <c r="H32" s="3">
        <f t="shared" si="8"/>
        <v>537993.69794370816</v>
      </c>
      <c r="I32" s="3">
        <f t="shared" si="8"/>
        <v>538646.9248456714</v>
      </c>
      <c r="J32" s="3">
        <f t="shared" si="8"/>
        <v>539300.9712299183</v>
      </c>
      <c r="K32" s="3">
        <f t="shared" si="8"/>
        <v>539955.8381245014</v>
      </c>
      <c r="L32" s="3">
        <f t="shared" si="8"/>
        <v>540611.52655876195</v>
      </c>
    </row>
    <row r="33" spans="1:12" x14ac:dyDescent="0.2">
      <c r="A33" s="1" t="str">
        <f t="shared" si="3"/>
        <v>Emerging Mkts Stks</v>
      </c>
      <c r="B33" s="9"/>
      <c r="C33" s="3">
        <f>C8*C19</f>
        <v>514979.74163638614</v>
      </c>
      <c r="D33" s="3">
        <f t="shared" ref="D33:L33" si="9">D8*D19</f>
        <v>515604.89884960768</v>
      </c>
      <c r="E33" s="3">
        <f t="shared" si="9"/>
        <v>516230.84033129632</v>
      </c>
      <c r="F33" s="3">
        <f t="shared" si="9"/>
        <v>516857.56706532743</v>
      </c>
      <c r="G33" s="3">
        <f t="shared" si="9"/>
        <v>517485.08003681106</v>
      </c>
      <c r="H33" s="3">
        <f t="shared" si="9"/>
        <v>518113.38023209322</v>
      </c>
      <c r="I33" s="3">
        <f t="shared" si="9"/>
        <v>518742.46863875724</v>
      </c>
      <c r="J33" s="3">
        <f t="shared" si="9"/>
        <v>519372.34624562523</v>
      </c>
      <c r="K33" s="3">
        <f t="shared" si="9"/>
        <v>520003.01404275984</v>
      </c>
      <c r="L33" s="3">
        <f t="shared" si="9"/>
        <v>520634.47302146588</v>
      </c>
    </row>
    <row r="34" spans="1:12" x14ac:dyDescent="0.2">
      <c r="A34" s="1" t="str">
        <f t="shared" si="3"/>
        <v>U.S. Investment Grade Bonds</v>
      </c>
      <c r="B34" s="9"/>
      <c r="C34" s="3">
        <f>C9*C20</f>
        <v>234590.00136362779</v>
      </c>
      <c r="D34" s="3">
        <f t="shared" ref="D34:L34" si="10">D9*D20</f>
        <v>234874.78078239897</v>
      </c>
      <c r="E34" s="3">
        <f t="shared" si="10"/>
        <v>235159.91746093362</v>
      </c>
      <c r="F34" s="3">
        <f t="shared" si="10"/>
        <v>235445.41184741925</v>
      </c>
      <c r="G34" s="3">
        <f t="shared" si="10"/>
        <v>235731.2643906053</v>
      </c>
      <c r="H34" s="3">
        <f t="shared" si="10"/>
        <v>236017.47553980444</v>
      </c>
      <c r="I34" s="3">
        <f t="shared" si="10"/>
        <v>236304.04574489285</v>
      </c>
      <c r="J34" s="3">
        <f t="shared" si="10"/>
        <v>236590.97545631137</v>
      </c>
      <c r="K34" s="3">
        <f t="shared" si="10"/>
        <v>236878.26512506546</v>
      </c>
      <c r="L34" s="3">
        <f t="shared" si="10"/>
        <v>237165.91520272681</v>
      </c>
    </row>
    <row r="35" spans="1:12" x14ac:dyDescent="0.2">
      <c r="A35" s="1" t="str">
        <f t="shared" si="3"/>
        <v>U.S. High Yield Bonds</v>
      </c>
      <c r="B35" s="9"/>
      <c r="C35" s="3">
        <f>C10*C21</f>
        <v>235210.98082081365</v>
      </c>
      <c r="D35" s="3">
        <f t="shared" ref="D35:L35" si="11">D10*D21</f>
        <v>235496.51407464966</v>
      </c>
      <c r="E35" s="3">
        <f t="shared" si="11"/>
        <v>235782.40553394586</v>
      </c>
      <c r="F35" s="3">
        <f t="shared" si="11"/>
        <v>236068.65564807592</v>
      </c>
      <c r="G35" s="3">
        <f t="shared" si="11"/>
        <v>236355.26486697735</v>
      </c>
      <c r="H35" s="3">
        <f t="shared" si="11"/>
        <v>236642.23364115212</v>
      </c>
      <c r="I35" s="3">
        <f t="shared" si="11"/>
        <v>236929.56242166727</v>
      </c>
      <c r="J35" s="3">
        <f t="shared" si="11"/>
        <v>237217.25166015603</v>
      </c>
      <c r="K35" s="3">
        <f t="shared" si="11"/>
        <v>237505.30180881784</v>
      </c>
      <c r="L35" s="3">
        <f t="shared" si="11"/>
        <v>237793.71332041943</v>
      </c>
    </row>
    <row r="36" spans="1:12" x14ac:dyDescent="0.2">
      <c r="A36" s="1" t="str">
        <f t="shared" si="3"/>
        <v>Non-U.S. Bonds</v>
      </c>
      <c r="B36" s="9"/>
      <c r="C36" s="3">
        <f>C11*C22</f>
        <v>88186.798164886408</v>
      </c>
      <c r="D36" s="3">
        <f t="shared" ref="D36:L36" si="12">D11*D22</f>
        <v>88293.852109976593</v>
      </c>
      <c r="E36" s="3">
        <f t="shared" si="12"/>
        <v>88401.040355738049</v>
      </c>
      <c r="F36" s="3">
        <f t="shared" si="12"/>
        <v>88508.363070652849</v>
      </c>
      <c r="G36" s="3">
        <f t="shared" si="12"/>
        <v>88615.820423414421</v>
      </c>
      <c r="H36" s="3">
        <f t="shared" si="12"/>
        <v>88723.412582927805</v>
      </c>
      <c r="I36" s="3">
        <f t="shared" si="12"/>
        <v>88831.139718309991</v>
      </c>
      <c r="J36" s="3">
        <f t="shared" si="12"/>
        <v>88939.001998890089</v>
      </c>
      <c r="K36" s="3">
        <f t="shared" si="12"/>
        <v>89046.999594209628</v>
      </c>
      <c r="L36" s="3">
        <f t="shared" si="12"/>
        <v>89155.13267402284</v>
      </c>
    </row>
    <row r="37" spans="1:12" x14ac:dyDescent="0.2">
      <c r="A37" s="2" t="s">
        <v>33</v>
      </c>
      <c r="B37" s="10"/>
      <c r="C37" s="3">
        <f>SUM(C27:C36)</f>
        <v>3728164.5582087217</v>
      </c>
      <c r="D37" s="3">
        <f t="shared" ref="D37:L37" si="13">SUM(D27:D36)</f>
        <v>3732690.3458799715</v>
      </c>
      <c r="E37" s="3">
        <f t="shared" si="13"/>
        <v>3737221.8112151492</v>
      </c>
      <c r="F37" s="3">
        <f t="shared" si="13"/>
        <v>3741758.9613369615</v>
      </c>
      <c r="G37" s="3">
        <f t="shared" si="13"/>
        <v>3746301.8033770546</v>
      </c>
      <c r="H37" s="3">
        <f t="shared" si="13"/>
        <v>3750850.3444760181</v>
      </c>
      <c r="I37" s="3">
        <f t="shared" si="13"/>
        <v>3755404.5917834006</v>
      </c>
      <c r="J37" s="3">
        <f t="shared" si="13"/>
        <v>3759964.5524577228</v>
      </c>
      <c r="K37" s="3">
        <f t="shared" si="13"/>
        <v>3764530.2336664828</v>
      </c>
      <c r="L37" s="3">
        <f t="shared" si="13"/>
        <v>3769101.6425861684</v>
      </c>
    </row>
    <row r="38" spans="1:12" x14ac:dyDescent="0.2">
      <c r="A38" s="2" t="str">
        <f>A23</f>
        <v>Cashflow</v>
      </c>
      <c r="B38" s="10"/>
      <c r="C38" s="3">
        <f>C23</f>
        <v>150</v>
      </c>
      <c r="D38" s="3">
        <f t="shared" ref="D38:L38" si="14">D23</f>
        <v>150</v>
      </c>
      <c r="E38" s="3">
        <f t="shared" si="14"/>
        <v>150</v>
      </c>
      <c r="F38" s="3">
        <f t="shared" si="14"/>
        <v>150</v>
      </c>
      <c r="G38" s="3">
        <f t="shared" si="14"/>
        <v>150</v>
      </c>
      <c r="H38" s="3">
        <f t="shared" si="14"/>
        <v>150</v>
      </c>
      <c r="I38" s="3">
        <f t="shared" si="14"/>
        <v>150</v>
      </c>
      <c r="J38" s="3">
        <f t="shared" si="14"/>
        <v>150</v>
      </c>
      <c r="K38" s="3">
        <f t="shared" si="14"/>
        <v>150</v>
      </c>
      <c r="L38" s="3">
        <f t="shared" si="14"/>
        <v>150</v>
      </c>
    </row>
    <row r="39" spans="1:12" s="6" customFormat="1" x14ac:dyDescent="0.2">
      <c r="A39" s="2" t="str">
        <f>A24</f>
        <v>Mgt_Fee</v>
      </c>
      <c r="B39" s="10">
        <f>0.007</f>
        <v>7.0000000000000001E-3</v>
      </c>
      <c r="C39" s="5">
        <f>$B39*C37</f>
        <v>26097.151907461051</v>
      </c>
      <c r="D39" s="5">
        <f t="shared" ref="D39:L39" si="15">$B39*D37</f>
        <v>26128.832421159801</v>
      </c>
      <c r="E39" s="5">
        <f t="shared" si="15"/>
        <v>26160.552678506047</v>
      </c>
      <c r="F39" s="5">
        <f t="shared" si="15"/>
        <v>26192.312729358731</v>
      </c>
      <c r="G39" s="5">
        <f t="shared" si="15"/>
        <v>26224.112623639383</v>
      </c>
      <c r="H39" s="5">
        <f t="shared" si="15"/>
        <v>26255.952411332128</v>
      </c>
      <c r="I39" s="5">
        <f t="shared" si="15"/>
        <v>26287.832142483803</v>
      </c>
      <c r="J39" s="5">
        <f t="shared" si="15"/>
        <v>26319.751867204061</v>
      </c>
      <c r="K39" s="5">
        <f t="shared" si="15"/>
        <v>26351.711635665379</v>
      </c>
      <c r="L39" s="5">
        <f t="shared" si="15"/>
        <v>26383.711498103181</v>
      </c>
    </row>
    <row r="40" spans="1:12" x14ac:dyDescent="0.2">
      <c r="A40" s="1" t="s">
        <v>32</v>
      </c>
      <c r="B40" s="9"/>
      <c r="C40" s="3">
        <f>C37-C39-C38</f>
        <v>3701917.4063012605</v>
      </c>
      <c r="D40" s="3">
        <f>D37-D39-D38</f>
        <v>3706411.5134588117</v>
      </c>
      <c r="E40" s="3">
        <f>E37-E39-E38</f>
        <v>3710911.2585366433</v>
      </c>
      <c r="F40" s="3">
        <f>F37-F39-F38</f>
        <v>3715416.6486076028</v>
      </c>
      <c r="G40" s="3">
        <f>G37-G39-G38</f>
        <v>3719927.6907534152</v>
      </c>
      <c r="H40" s="3">
        <f>H37-H39-H38</f>
        <v>3724444.3920646859</v>
      </c>
      <c r="I40" s="3">
        <f>I37-I39-I38</f>
        <v>3728966.7596409167</v>
      </c>
      <c r="J40" s="3">
        <f>J37-J39-J38</f>
        <v>3733494.8005905189</v>
      </c>
      <c r="K40" s="3">
        <f>K37-K39-K38</f>
        <v>3738028.5220308173</v>
      </c>
      <c r="L40" s="3">
        <f>L37-L39-L38</f>
        <v>3742567.9310880653</v>
      </c>
    </row>
    <row r="42" spans="1:12" x14ac:dyDescent="0.2">
      <c r="A42" s="7" t="s">
        <v>34</v>
      </c>
      <c r="B42" s="7"/>
    </row>
    <row r="43" spans="1:12" x14ac:dyDescent="0.2">
      <c r="A43" t="str">
        <f>A2</f>
        <v>U.S. Lg Cap Growth</v>
      </c>
      <c r="C43" s="8">
        <f>C$40*$B2</f>
        <v>265894.76031813241</v>
      </c>
      <c r="D43" s="8">
        <f t="shared" ref="D43:L43" si="16">D$40*$B2</f>
        <v>266217.55507942749</v>
      </c>
      <c r="E43" s="8">
        <f t="shared" si="16"/>
        <v>266540.75479126495</v>
      </c>
      <c r="F43" s="8">
        <f t="shared" si="16"/>
        <v>266864.35996166081</v>
      </c>
      <c r="G43" s="8">
        <f t="shared" si="16"/>
        <v>267188.37109926861</v>
      </c>
      <c r="H43" s="8">
        <f t="shared" si="16"/>
        <v>267512.78871337982</v>
      </c>
      <c r="I43" s="8">
        <f t="shared" si="16"/>
        <v>267837.61331392481</v>
      </c>
      <c r="J43" s="8">
        <f t="shared" si="16"/>
        <v>268162.84541147394</v>
      </c>
      <c r="K43" s="8">
        <f t="shared" si="16"/>
        <v>268488.48551723792</v>
      </c>
      <c r="L43" s="8">
        <f t="shared" si="16"/>
        <v>268814.53414306854</v>
      </c>
    </row>
    <row r="44" spans="1:12" x14ac:dyDescent="0.2">
      <c r="A44" t="str">
        <f t="shared" ref="A44:A53" si="17">A3</f>
        <v>U.S. Lg Cap Val</v>
      </c>
      <c r="C44" s="8">
        <f t="shared" ref="C44:L52" si="18">C$40*$B3</f>
        <v>898136.46655516117</v>
      </c>
      <c r="D44" s="8">
        <f t="shared" si="18"/>
        <v>899226.79923409468</v>
      </c>
      <c r="E44" s="8">
        <f t="shared" si="18"/>
        <v>900318.49975062266</v>
      </c>
      <c r="F44" s="8">
        <f t="shared" si="18"/>
        <v>901411.5698207157</v>
      </c>
      <c r="G44" s="8">
        <f t="shared" si="18"/>
        <v>902506.01116249838</v>
      </c>
      <c r="H44" s="8">
        <f t="shared" si="18"/>
        <v>903601.82549625007</v>
      </c>
      <c r="I44" s="8">
        <f t="shared" si="18"/>
        <v>904699.01454440819</v>
      </c>
      <c r="J44" s="8">
        <f t="shared" si="18"/>
        <v>905797.58003157179</v>
      </c>
      <c r="K44" s="8">
        <f t="shared" si="18"/>
        <v>906897.52368450258</v>
      </c>
      <c r="L44" s="8">
        <f t="shared" si="18"/>
        <v>907998.84723212826</v>
      </c>
    </row>
    <row r="45" spans="1:12" x14ac:dyDescent="0.2">
      <c r="A45" t="str">
        <f t="shared" si="17"/>
        <v>U.S. Mid Cap Growth</v>
      </c>
      <c r="C45" s="8">
        <f t="shared" si="18"/>
        <v>73985.345261462993</v>
      </c>
      <c r="D45" s="8">
        <f t="shared" si="18"/>
        <v>74075.163059431012</v>
      </c>
      <c r="E45" s="8">
        <f t="shared" si="18"/>
        <v>74165.093535082706</v>
      </c>
      <c r="F45" s="8">
        <f t="shared" si="18"/>
        <v>74255.13682977375</v>
      </c>
      <c r="G45" s="8">
        <f t="shared" si="18"/>
        <v>74345.293085037265</v>
      </c>
      <c r="H45" s="8">
        <f t="shared" si="18"/>
        <v>74435.562442583832</v>
      </c>
      <c r="I45" s="8">
        <f t="shared" si="18"/>
        <v>74525.945044301829</v>
      </c>
      <c r="J45" s="8">
        <f t="shared" si="18"/>
        <v>74616.441032257731</v>
      </c>
      <c r="K45" s="8">
        <f t="shared" si="18"/>
        <v>74707.050548696105</v>
      </c>
      <c r="L45" s="8">
        <f t="shared" si="18"/>
        <v>74797.773736040006</v>
      </c>
    </row>
    <row r="46" spans="1:12" x14ac:dyDescent="0.2">
      <c r="A46" t="str">
        <f t="shared" si="17"/>
        <v>U.S. Sm Cap Growth</v>
      </c>
      <c r="C46" s="8">
        <f t="shared" si="18"/>
        <v>135020.92928217514</v>
      </c>
      <c r="D46" s="8">
        <f t="shared" si="18"/>
        <v>135184.84393993422</v>
      </c>
      <c r="E46" s="8">
        <f t="shared" si="18"/>
        <v>135348.96423092383</v>
      </c>
      <c r="F46" s="8">
        <f t="shared" si="18"/>
        <v>135513.29041311369</v>
      </c>
      <c r="G46" s="8">
        <f t="shared" si="18"/>
        <v>135677.82274479722</v>
      </c>
      <c r="H46" s="8">
        <f t="shared" si="18"/>
        <v>135842.56148459183</v>
      </c>
      <c r="I46" s="8">
        <f t="shared" si="18"/>
        <v>136007.50689143935</v>
      </c>
      <c r="J46" s="8">
        <f t="shared" si="18"/>
        <v>136172.65922460658</v>
      </c>
      <c r="K46" s="8">
        <f t="shared" si="18"/>
        <v>136338.01874368545</v>
      </c>
      <c r="L46" s="8">
        <f t="shared" si="18"/>
        <v>136503.58570859348</v>
      </c>
    </row>
    <row r="47" spans="1:12" x14ac:dyDescent="0.2">
      <c r="A47" t="str">
        <f t="shared" si="17"/>
        <v>U.S. Sm Cap Val</v>
      </c>
      <c r="C47" s="8">
        <f t="shared" si="18"/>
        <v>603166.41321829718</v>
      </c>
      <c r="D47" s="8">
        <f t="shared" si="18"/>
        <v>603898.65389179927</v>
      </c>
      <c r="E47" s="8">
        <f t="shared" si="18"/>
        <v>604631.8131714667</v>
      </c>
      <c r="F47" s="8">
        <f t="shared" si="18"/>
        <v>605365.89220970357</v>
      </c>
      <c r="G47" s="8">
        <f t="shared" si="18"/>
        <v>606100.89216036024</v>
      </c>
      <c r="H47" s="8">
        <f t="shared" si="18"/>
        <v>606836.81417873374</v>
      </c>
      <c r="I47" s="8">
        <f t="shared" si="18"/>
        <v>607573.65942157118</v>
      </c>
      <c r="J47" s="8">
        <f t="shared" si="18"/>
        <v>608311.42904707068</v>
      </c>
      <c r="K47" s="8">
        <f t="shared" si="18"/>
        <v>609050.1242148832</v>
      </c>
      <c r="L47" s="8">
        <f t="shared" si="18"/>
        <v>609789.74608611409</v>
      </c>
    </row>
    <row r="48" spans="1:12" x14ac:dyDescent="0.2">
      <c r="A48" t="str">
        <f t="shared" si="17"/>
        <v>Foreign Industrialzed Mkts Stocks</v>
      </c>
      <c r="C48" s="8">
        <f t="shared" si="18"/>
        <v>619410.89922511356</v>
      </c>
      <c r="D48" s="8">
        <f t="shared" si="18"/>
        <v>620162.86061434785</v>
      </c>
      <c r="E48" s="8">
        <f t="shared" si="18"/>
        <v>620915.76534966123</v>
      </c>
      <c r="F48" s="8">
        <f t="shared" si="18"/>
        <v>621669.61461449438</v>
      </c>
      <c r="G48" s="8">
        <f t="shared" si="18"/>
        <v>622424.40959377284</v>
      </c>
      <c r="H48" s="8">
        <f t="shared" si="18"/>
        <v>623180.15147390869</v>
      </c>
      <c r="I48" s="8">
        <f t="shared" si="18"/>
        <v>623936.84144280187</v>
      </c>
      <c r="J48" s="8">
        <f t="shared" si="18"/>
        <v>624694.48068984377</v>
      </c>
      <c r="K48" s="8">
        <f t="shared" si="18"/>
        <v>625453.07040591666</v>
      </c>
      <c r="L48" s="8">
        <f t="shared" si="18"/>
        <v>626212.61178339703</v>
      </c>
    </row>
    <row r="49" spans="1:12" x14ac:dyDescent="0.2">
      <c r="A49" t="str">
        <f t="shared" si="17"/>
        <v>Emerging Mkts Stks</v>
      </c>
      <c r="C49" s="8">
        <f t="shared" si="18"/>
        <v>506029.68752440496</v>
      </c>
      <c r="D49" s="8">
        <f t="shared" si="18"/>
        <v>506644.00475275959</v>
      </c>
      <c r="E49" s="8">
        <f t="shared" si="18"/>
        <v>507259.09265066864</v>
      </c>
      <c r="F49" s="8">
        <f t="shared" si="18"/>
        <v>507874.95218494738</v>
      </c>
      <c r="G49" s="8">
        <f t="shared" si="18"/>
        <v>508491.58432362485</v>
      </c>
      <c r="H49" s="8">
        <f t="shared" si="18"/>
        <v>509108.9900359438</v>
      </c>
      <c r="I49" s="8">
        <f t="shared" si="18"/>
        <v>509727.17029236315</v>
      </c>
      <c r="J49" s="8">
        <f t="shared" si="18"/>
        <v>510346.12606455968</v>
      </c>
      <c r="K49" s="8">
        <f t="shared" si="18"/>
        <v>510965.85832542856</v>
      </c>
      <c r="L49" s="8">
        <f t="shared" si="18"/>
        <v>511586.36804908543</v>
      </c>
    </row>
    <row r="50" spans="1:12" x14ac:dyDescent="0.2">
      <c r="A50" t="str">
        <f t="shared" si="17"/>
        <v>U.S. Investment Grade Bonds</v>
      </c>
      <c r="C50" s="8">
        <f t="shared" si="18"/>
        <v>263686.34267052804</v>
      </c>
      <c r="D50" s="8">
        <f t="shared" si="18"/>
        <v>264006.45642507239</v>
      </c>
      <c r="E50" s="8">
        <f t="shared" si="18"/>
        <v>264326.97176679864</v>
      </c>
      <c r="F50" s="8">
        <f t="shared" si="18"/>
        <v>264647.88919950346</v>
      </c>
      <c r="G50" s="8">
        <f t="shared" si="18"/>
        <v>264969.20922761568</v>
      </c>
      <c r="H50" s="8">
        <f t="shared" si="18"/>
        <v>265290.9323561968</v>
      </c>
      <c r="I50" s="8">
        <f t="shared" si="18"/>
        <v>265613.05909094197</v>
      </c>
      <c r="J50" s="8">
        <f t="shared" si="18"/>
        <v>265935.58993818093</v>
      </c>
      <c r="K50" s="8">
        <f t="shared" si="18"/>
        <v>266258.52540487837</v>
      </c>
      <c r="L50" s="8">
        <f t="shared" si="18"/>
        <v>266581.86599863489</v>
      </c>
    </row>
    <row r="51" spans="1:12" x14ac:dyDescent="0.2">
      <c r="A51" t="str">
        <f t="shared" si="17"/>
        <v>U.S. High Yield Bonds</v>
      </c>
      <c r="C51" s="8">
        <f t="shared" si="18"/>
        <v>248152.35812782173</v>
      </c>
      <c r="D51" s="8">
        <f t="shared" si="18"/>
        <v>248453.61371146259</v>
      </c>
      <c r="E51" s="8">
        <f t="shared" si="18"/>
        <v>248755.24722444624</v>
      </c>
      <c r="F51" s="8">
        <f t="shared" si="18"/>
        <v>249057.25914089018</v>
      </c>
      <c r="G51" s="8">
        <f t="shared" si="18"/>
        <v>249359.64993550701</v>
      </c>
      <c r="H51" s="8">
        <f t="shared" si="18"/>
        <v>249662.42008360461</v>
      </c>
      <c r="I51" s="8">
        <f t="shared" si="18"/>
        <v>249965.57006108714</v>
      </c>
      <c r="J51" s="8">
        <f t="shared" si="18"/>
        <v>250269.10034445612</v>
      </c>
      <c r="K51" s="8">
        <f t="shared" si="18"/>
        <v>250573.01141081046</v>
      </c>
      <c r="L51" s="8">
        <f t="shared" si="18"/>
        <v>250877.30373784763</v>
      </c>
    </row>
    <row r="52" spans="1:12" x14ac:dyDescent="0.2">
      <c r="A52" t="str">
        <f t="shared" si="17"/>
        <v>Non-U.S. Bonds</v>
      </c>
      <c r="C52" s="8">
        <f t="shared" si="18"/>
        <v>88434.20411816363</v>
      </c>
      <c r="D52" s="8">
        <f t="shared" si="18"/>
        <v>88541.562750483004</v>
      </c>
      <c r="E52" s="8">
        <f t="shared" si="18"/>
        <v>88649.056065708064</v>
      </c>
      <c r="F52" s="8">
        <f t="shared" si="18"/>
        <v>88756.68423280034</v>
      </c>
      <c r="G52" s="8">
        <f t="shared" si="18"/>
        <v>88864.447420933429</v>
      </c>
      <c r="H52" s="8">
        <f t="shared" si="18"/>
        <v>88972.345799493094</v>
      </c>
      <c r="I52" s="8">
        <f t="shared" si="18"/>
        <v>89080.379538077585</v>
      </c>
      <c r="J52" s="8">
        <f t="shared" si="18"/>
        <v>89188.548806498031</v>
      </c>
      <c r="K52" s="8">
        <f t="shared" si="18"/>
        <v>89296.853774778472</v>
      </c>
      <c r="L52" s="8">
        <f t="shared" si="18"/>
        <v>89405.29461315622</v>
      </c>
    </row>
    <row r="53" spans="1:12" x14ac:dyDescent="0.2">
      <c r="A53" t="str">
        <f t="shared" si="17"/>
        <v>sub_total</v>
      </c>
      <c r="C53" s="8">
        <f>SUM(C43:C52)</f>
        <v>3701917.4063012609</v>
      </c>
      <c r="D53" s="8">
        <f t="shared" ref="D53:L53" si="19">SUM(D43:D52)</f>
        <v>3706411.5134588117</v>
      </c>
      <c r="E53" s="8">
        <f t="shared" si="19"/>
        <v>3710911.2585366438</v>
      </c>
      <c r="F53" s="8">
        <f t="shared" si="19"/>
        <v>3715416.6486076033</v>
      </c>
      <c r="G53" s="8">
        <f t="shared" si="19"/>
        <v>3719927.6907534157</v>
      </c>
      <c r="H53" s="8">
        <f t="shared" si="19"/>
        <v>3724444.3920646864</v>
      </c>
      <c r="I53" s="8">
        <f t="shared" si="19"/>
        <v>3728966.7596409172</v>
      </c>
      <c r="J53" s="8">
        <f t="shared" si="19"/>
        <v>3733494.8005905189</v>
      </c>
      <c r="K53" s="8">
        <f t="shared" si="19"/>
        <v>3738028.5220308183</v>
      </c>
      <c r="L53" s="8">
        <f t="shared" si="19"/>
        <v>3742567.9310880657</v>
      </c>
    </row>
    <row r="55" spans="1:12" x14ac:dyDescent="0.2">
      <c r="A55" s="7" t="s">
        <v>37</v>
      </c>
      <c r="C55" s="8"/>
    </row>
    <row r="56" spans="1:12" x14ac:dyDescent="0.2">
      <c r="A56" t="str">
        <f>A2</f>
        <v>U.S. Lg Cap Growth</v>
      </c>
      <c r="C56" s="8">
        <f>D2-C43</f>
        <v>0</v>
      </c>
      <c r="D56" s="8">
        <f t="shared" ref="D56:K56" si="20">E2-D43</f>
        <v>0</v>
      </c>
      <c r="E56" s="8">
        <f t="shared" si="20"/>
        <v>0</v>
      </c>
      <c r="F56" s="8">
        <f t="shared" si="20"/>
        <v>0</v>
      </c>
      <c r="G56" s="8">
        <f t="shared" si="20"/>
        <v>0</v>
      </c>
      <c r="H56" s="8">
        <f t="shared" si="20"/>
        <v>0</v>
      </c>
      <c r="I56" s="8">
        <f t="shared" si="20"/>
        <v>0</v>
      </c>
      <c r="J56" s="8">
        <f t="shared" si="20"/>
        <v>0</v>
      </c>
      <c r="K56" s="8">
        <f t="shared" si="20"/>
        <v>0</v>
      </c>
      <c r="L56" s="11"/>
    </row>
    <row r="57" spans="1:12" x14ac:dyDescent="0.2">
      <c r="A57" t="str">
        <f t="shared" ref="A57:A65" si="21">A3</f>
        <v>U.S. Lg Cap Val</v>
      </c>
      <c r="C57" s="8">
        <f t="shared" ref="C57:K65" si="22">D3-C44</f>
        <v>0</v>
      </c>
      <c r="D57" s="8">
        <f t="shared" si="22"/>
        <v>0</v>
      </c>
      <c r="E57" s="8">
        <f t="shared" si="22"/>
        <v>0</v>
      </c>
      <c r="F57" s="8">
        <f t="shared" si="22"/>
        <v>0</v>
      </c>
      <c r="G57" s="8">
        <f t="shared" si="22"/>
        <v>0</v>
      </c>
      <c r="H57" s="8">
        <f t="shared" si="22"/>
        <v>0</v>
      </c>
      <c r="I57" s="8">
        <f t="shared" si="22"/>
        <v>0</v>
      </c>
      <c r="J57" s="8">
        <f t="shared" si="22"/>
        <v>0</v>
      </c>
      <c r="K57" s="8">
        <f t="shared" si="22"/>
        <v>0</v>
      </c>
      <c r="L57" s="11"/>
    </row>
    <row r="58" spans="1:12" x14ac:dyDescent="0.2">
      <c r="A58" t="str">
        <f t="shared" si="21"/>
        <v>U.S. Mid Cap Growth</v>
      </c>
      <c r="C58" s="8">
        <f t="shared" si="22"/>
        <v>0</v>
      </c>
      <c r="D58" s="8">
        <f t="shared" si="22"/>
        <v>0</v>
      </c>
      <c r="E58" s="8">
        <f t="shared" si="22"/>
        <v>0</v>
      </c>
      <c r="F58" s="8">
        <f t="shared" si="22"/>
        <v>0</v>
      </c>
      <c r="G58" s="8">
        <f t="shared" si="22"/>
        <v>0</v>
      </c>
      <c r="H58" s="8">
        <f t="shared" si="22"/>
        <v>0</v>
      </c>
      <c r="I58" s="8">
        <f t="shared" si="22"/>
        <v>0</v>
      </c>
      <c r="J58" s="8">
        <f t="shared" si="22"/>
        <v>0</v>
      </c>
      <c r="K58" s="8">
        <f t="shared" si="22"/>
        <v>0</v>
      </c>
      <c r="L58" s="11"/>
    </row>
    <row r="59" spans="1:12" x14ac:dyDescent="0.2">
      <c r="A59" t="str">
        <f t="shared" si="21"/>
        <v>U.S. Sm Cap Growth</v>
      </c>
      <c r="C59" s="8">
        <f t="shared" si="22"/>
        <v>0</v>
      </c>
      <c r="D59" s="8">
        <f t="shared" si="22"/>
        <v>0</v>
      </c>
      <c r="E59" s="8">
        <f t="shared" si="22"/>
        <v>0</v>
      </c>
      <c r="F59" s="8">
        <f t="shared" si="22"/>
        <v>0</v>
      </c>
      <c r="G59" s="8">
        <f t="shared" si="22"/>
        <v>0</v>
      </c>
      <c r="H59" s="8">
        <f t="shared" si="22"/>
        <v>0</v>
      </c>
      <c r="I59" s="8">
        <f t="shared" si="22"/>
        <v>0</v>
      </c>
      <c r="J59" s="8">
        <f t="shared" si="22"/>
        <v>0</v>
      </c>
      <c r="K59" s="8">
        <f t="shared" si="22"/>
        <v>0</v>
      </c>
      <c r="L59" s="11"/>
    </row>
    <row r="60" spans="1:12" x14ac:dyDescent="0.2">
      <c r="A60" t="str">
        <f t="shared" si="21"/>
        <v>U.S. Sm Cap Val</v>
      </c>
      <c r="C60" s="8">
        <f t="shared" si="22"/>
        <v>0</v>
      </c>
      <c r="D60" s="8">
        <f t="shared" si="22"/>
        <v>0</v>
      </c>
      <c r="E60" s="8">
        <f t="shared" si="22"/>
        <v>0</v>
      </c>
      <c r="F60" s="8">
        <f t="shared" si="22"/>
        <v>0</v>
      </c>
      <c r="G60" s="8">
        <f t="shared" si="22"/>
        <v>0</v>
      </c>
      <c r="H60" s="8">
        <f t="shared" si="22"/>
        <v>0</v>
      </c>
      <c r="I60" s="8">
        <f t="shared" si="22"/>
        <v>0</v>
      </c>
      <c r="J60" s="8">
        <f t="shared" si="22"/>
        <v>0</v>
      </c>
      <c r="K60" s="8">
        <f t="shared" si="22"/>
        <v>0</v>
      </c>
      <c r="L60" s="11"/>
    </row>
    <row r="61" spans="1:12" x14ac:dyDescent="0.2">
      <c r="A61" t="str">
        <f t="shared" si="21"/>
        <v>Foreign Industrialzed Mkts Stocks</v>
      </c>
      <c r="C61" s="8">
        <f t="shared" si="22"/>
        <v>0</v>
      </c>
      <c r="D61" s="8">
        <f t="shared" si="22"/>
        <v>0</v>
      </c>
      <c r="E61" s="8">
        <f t="shared" si="22"/>
        <v>0</v>
      </c>
      <c r="F61" s="8">
        <f t="shared" si="22"/>
        <v>0</v>
      </c>
      <c r="G61" s="8">
        <f t="shared" si="22"/>
        <v>0</v>
      </c>
      <c r="H61" s="8">
        <f t="shared" si="22"/>
        <v>0</v>
      </c>
      <c r="I61" s="8">
        <f t="shared" si="22"/>
        <v>0</v>
      </c>
      <c r="J61" s="8">
        <f t="shared" si="22"/>
        <v>0</v>
      </c>
      <c r="K61" s="8">
        <f t="shared" si="22"/>
        <v>0</v>
      </c>
      <c r="L61" s="11"/>
    </row>
    <row r="62" spans="1:12" x14ac:dyDescent="0.2">
      <c r="A62" t="str">
        <f t="shared" si="21"/>
        <v>Emerging Mkts Stks</v>
      </c>
      <c r="C62" s="8">
        <f t="shared" si="22"/>
        <v>0</v>
      </c>
      <c r="D62" s="8">
        <f t="shared" si="22"/>
        <v>0</v>
      </c>
      <c r="E62" s="8">
        <f t="shared" si="22"/>
        <v>0</v>
      </c>
      <c r="F62" s="8">
        <f t="shared" si="22"/>
        <v>0</v>
      </c>
      <c r="G62" s="8">
        <f t="shared" si="22"/>
        <v>0</v>
      </c>
      <c r="H62" s="8">
        <f t="shared" si="22"/>
        <v>0</v>
      </c>
      <c r="I62" s="8">
        <f t="shared" si="22"/>
        <v>0</v>
      </c>
      <c r="J62" s="8">
        <f t="shared" si="22"/>
        <v>0</v>
      </c>
      <c r="K62" s="8">
        <f t="shared" si="22"/>
        <v>0</v>
      </c>
      <c r="L62" s="11"/>
    </row>
    <row r="63" spans="1:12" x14ac:dyDescent="0.2">
      <c r="A63" t="str">
        <f t="shared" si="21"/>
        <v>U.S. Investment Grade Bonds</v>
      </c>
      <c r="C63" s="8">
        <f t="shared" si="22"/>
        <v>0</v>
      </c>
      <c r="D63" s="8">
        <f t="shared" si="22"/>
        <v>0</v>
      </c>
      <c r="E63" s="8">
        <f t="shared" si="22"/>
        <v>0</v>
      </c>
      <c r="F63" s="8">
        <f t="shared" si="22"/>
        <v>0</v>
      </c>
      <c r="G63" s="8">
        <f t="shared" si="22"/>
        <v>0</v>
      </c>
      <c r="H63" s="8">
        <f t="shared" si="22"/>
        <v>0</v>
      </c>
      <c r="I63" s="8">
        <f t="shared" si="22"/>
        <v>0</v>
      </c>
      <c r="J63" s="8">
        <f t="shared" si="22"/>
        <v>0</v>
      </c>
      <c r="K63" s="8">
        <f t="shared" si="22"/>
        <v>0</v>
      </c>
      <c r="L63" s="11"/>
    </row>
    <row r="64" spans="1:12" x14ac:dyDescent="0.2">
      <c r="A64" t="str">
        <f t="shared" si="21"/>
        <v>U.S. High Yield Bonds</v>
      </c>
      <c r="C64" s="8">
        <f t="shared" si="22"/>
        <v>0</v>
      </c>
      <c r="D64" s="8">
        <f t="shared" si="22"/>
        <v>0</v>
      </c>
      <c r="E64" s="8">
        <f t="shared" si="22"/>
        <v>0</v>
      </c>
      <c r="F64" s="8">
        <f t="shared" si="22"/>
        <v>0</v>
      </c>
      <c r="G64" s="8">
        <f t="shared" si="22"/>
        <v>0</v>
      </c>
      <c r="H64" s="8">
        <f t="shared" si="22"/>
        <v>0</v>
      </c>
      <c r="I64" s="8">
        <f t="shared" si="22"/>
        <v>0</v>
      </c>
      <c r="J64" s="8">
        <f t="shared" si="22"/>
        <v>0</v>
      </c>
      <c r="K64" s="8">
        <f t="shared" si="22"/>
        <v>0</v>
      </c>
      <c r="L64" s="11"/>
    </row>
    <row r="65" spans="1:12" x14ac:dyDescent="0.2">
      <c r="A65" t="str">
        <f t="shared" si="21"/>
        <v>Non-U.S. Bonds</v>
      </c>
      <c r="C65" s="8">
        <f t="shared" si="22"/>
        <v>0</v>
      </c>
      <c r="D65" s="8">
        <f t="shared" si="22"/>
        <v>0</v>
      </c>
      <c r="E65" s="8">
        <f t="shared" si="22"/>
        <v>0</v>
      </c>
      <c r="F65" s="8">
        <f t="shared" si="22"/>
        <v>0</v>
      </c>
      <c r="G65" s="8">
        <f t="shared" si="22"/>
        <v>0</v>
      </c>
      <c r="H65" s="8">
        <f t="shared" si="22"/>
        <v>0</v>
      </c>
      <c r="I65" s="8">
        <f t="shared" si="22"/>
        <v>0</v>
      </c>
      <c r="J65" s="8">
        <f t="shared" si="22"/>
        <v>0</v>
      </c>
      <c r="K65" s="8">
        <f t="shared" si="22"/>
        <v>0</v>
      </c>
      <c r="L6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Bernard Fraenkel</cp:lastModifiedBy>
  <dcterms:created xsi:type="dcterms:W3CDTF">2026-06-16T00:19:11Z</dcterms:created>
  <dcterms:modified xsi:type="dcterms:W3CDTF">2026-06-16T01:25:39Z</dcterms:modified>
</cp:coreProperties>
</file>