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fraenkel/Documents/Code/Financial_Plan/Data/"/>
    </mc:Choice>
  </mc:AlternateContent>
  <xr:revisionPtr revIDLastSave="0" documentId="13_ncr:1_{EF4B99D5-1E69-8349-B8A4-63C29006F647}" xr6:coauthVersionLast="47" xr6:coauthVersionMax="47" xr10:uidLastSave="{00000000-0000-0000-0000-000000000000}"/>
  <bookViews>
    <workbookView xWindow="11120" yWindow="1060" windowWidth="27280" windowHeight="21100" xr2:uid="{76BF34D5-B748-B34C-A90E-AA589F39BCA4}"/>
  </bookViews>
  <sheets>
    <sheet name="Goals" sheetId="8" r:id="rId1"/>
  </sheets>
  <definedNames>
    <definedName name="Retirement_Spending" localSheetId="0">Goals!#REF!</definedName>
    <definedName name="Retirement_Spending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8" l="1"/>
  <c r="B2" i="8"/>
  <c r="C11" i="8" l="1"/>
</calcChain>
</file>

<file path=xl/sharedStrings.xml><?xml version="1.0" encoding="utf-8"?>
<sst xmlns="http://schemas.openxmlformats.org/spreadsheetml/2006/main" count="62" uniqueCount="30">
  <si>
    <t>Amount</t>
  </si>
  <si>
    <t>Start_age</t>
  </si>
  <si>
    <t>End_age</t>
  </si>
  <si>
    <t>CALPERS IVF</t>
  </si>
  <si>
    <t>Kayla's College</t>
  </si>
  <si>
    <t>Loft Net of HOA, PTY Tax,</t>
  </si>
  <si>
    <t>Partech I Principal Return</t>
  </si>
  <si>
    <t>Partech II Principal Return</t>
  </si>
  <si>
    <t>Partech III Principal Return</t>
  </si>
  <si>
    <t>Pay Off Emeryville Mortgage</t>
  </si>
  <si>
    <t>Pay off mortgage</t>
  </si>
  <si>
    <t>Retirement Spending</t>
  </si>
  <si>
    <t>Travel</t>
  </si>
  <si>
    <t>Retirement Spending - past 80</t>
  </si>
  <si>
    <t>Social Security BF</t>
  </si>
  <si>
    <t>Social Security DD</t>
  </si>
  <si>
    <t>Discretionary</t>
  </si>
  <si>
    <t>N</t>
  </si>
  <si>
    <t>Y</t>
  </si>
  <si>
    <t>PCL Interest</t>
  </si>
  <si>
    <t>End</t>
  </si>
  <si>
    <t>Home Improvement</t>
  </si>
  <si>
    <t>Death</t>
  </si>
  <si>
    <t>Social Security BF-Post</t>
  </si>
  <si>
    <t>Inflation_pct</t>
  </si>
  <si>
    <t>Cashflow</t>
  </si>
  <si>
    <t>Default</t>
  </si>
  <si>
    <t>Partech III Drawdown</t>
  </si>
  <si>
    <t>Partech IV Drawdown</t>
  </si>
  <si>
    <t>Partech IV Principal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</si>
</sst>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8" fontId="1" fillId="0" borderId="1" xfId="1" applyNumberFormat="1" applyFont="1" applyBorder="1" applyAlignment="1">
      <alignment horizontal="center" vertical="top"/>
    </xf>
    <xf numFmtId="8" fontId="0" fillId="0" borderId="0" xfId="1" applyNumberFormat="1" applyFont="1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2" applyFont="1"/>
    <xf numFmtId="8" fontId="3" fillId="0" borderId="0" xfId="0" applyNumberFormat="1" applyFont="1"/>
    <xf numFmtId="9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12893-87B8-BE4F-8A24-887CF7C7418A}">
  <dimension ref="A1:F20"/>
  <sheetViews>
    <sheetView tabSelected="1" zoomScale="120" zoomScaleNormal="120" workbookViewId="0">
      <selection activeCell="E15" sqref="E15"/>
    </sheetView>
  </sheetViews>
  <sheetFormatPr baseColWidth="10" defaultColWidth="8.83203125" defaultRowHeight="15" x14ac:dyDescent="0.2"/>
  <cols>
    <col min="1" max="1" width="24.6640625" bestFit="1" customWidth="1"/>
    <col min="2" max="2" width="13.1640625" style="3" bestFit="1" customWidth="1"/>
    <col min="5" max="5" width="11" bestFit="1" customWidth="1"/>
    <col min="6" max="6" width="11.5" bestFit="1" customWidth="1"/>
  </cols>
  <sheetData>
    <row r="1" spans="1:6" x14ac:dyDescent="0.2">
      <c r="A1" s="4" t="s">
        <v>25</v>
      </c>
      <c r="B1" s="2" t="s">
        <v>0</v>
      </c>
      <c r="C1" s="1" t="s">
        <v>1</v>
      </c>
      <c r="D1" s="1" t="s">
        <v>2</v>
      </c>
      <c r="E1" s="1" t="s">
        <v>24</v>
      </c>
      <c r="F1" s="1" t="s">
        <v>16</v>
      </c>
    </row>
    <row r="2" spans="1:6" x14ac:dyDescent="0.2">
      <c r="A2" t="s">
        <v>3</v>
      </c>
      <c r="B2" s="7">
        <f>12*3538</f>
        <v>42456</v>
      </c>
      <c r="C2">
        <v>60</v>
      </c>
      <c r="D2" t="s">
        <v>22</v>
      </c>
      <c r="E2" t="s">
        <v>26</v>
      </c>
      <c r="F2" s="5" t="s">
        <v>17</v>
      </c>
    </row>
    <row r="3" spans="1:6" x14ac:dyDescent="0.2">
      <c r="A3" t="s">
        <v>21</v>
      </c>
      <c r="B3" s="3">
        <v>-25000</v>
      </c>
      <c r="C3">
        <v>60</v>
      </c>
      <c r="D3">
        <v>104</v>
      </c>
      <c r="E3" t="s">
        <v>26</v>
      </c>
      <c r="F3" s="5" t="s">
        <v>18</v>
      </c>
    </row>
    <row r="4" spans="1:6" x14ac:dyDescent="0.2">
      <c r="A4" t="s">
        <v>4</v>
      </c>
      <c r="B4" s="3">
        <v>-35000</v>
      </c>
      <c r="C4">
        <v>60</v>
      </c>
      <c r="D4">
        <v>70</v>
      </c>
      <c r="E4" s="6">
        <v>0.05</v>
      </c>
      <c r="F4" s="5" t="s">
        <v>17</v>
      </c>
    </row>
    <row r="5" spans="1:6" x14ac:dyDescent="0.2">
      <c r="A5" t="s">
        <v>5</v>
      </c>
      <c r="B5" s="7">
        <f>11*3000-12*720--7400-12*632</f>
        <v>24176</v>
      </c>
      <c r="C5">
        <v>60</v>
      </c>
      <c r="D5" t="s">
        <v>20</v>
      </c>
      <c r="E5" t="s">
        <v>26</v>
      </c>
      <c r="F5" s="5" t="s">
        <v>17</v>
      </c>
    </row>
    <row r="6" spans="1:6" x14ac:dyDescent="0.2">
      <c r="A6" t="s">
        <v>6</v>
      </c>
      <c r="B6" s="7">
        <v>9000</v>
      </c>
      <c r="C6">
        <v>68</v>
      </c>
      <c r="D6">
        <v>68</v>
      </c>
      <c r="E6" s="8">
        <v>0</v>
      </c>
      <c r="F6" s="5" t="s">
        <v>17</v>
      </c>
    </row>
    <row r="7" spans="1:6" x14ac:dyDescent="0.2">
      <c r="A7" t="s">
        <v>7</v>
      </c>
      <c r="B7" s="7">
        <v>20000</v>
      </c>
      <c r="C7">
        <v>68</v>
      </c>
      <c r="D7">
        <v>68</v>
      </c>
      <c r="E7" s="8">
        <v>0</v>
      </c>
      <c r="F7" s="5" t="s">
        <v>17</v>
      </c>
    </row>
    <row r="8" spans="1:6" x14ac:dyDescent="0.2">
      <c r="A8" t="s">
        <v>27</v>
      </c>
      <c r="B8" s="7">
        <v>-22000</v>
      </c>
      <c r="C8">
        <v>68</v>
      </c>
      <c r="D8">
        <v>68</v>
      </c>
      <c r="E8" s="8">
        <v>0</v>
      </c>
      <c r="F8" s="5" t="s">
        <v>17</v>
      </c>
    </row>
    <row r="9" spans="1:6" x14ac:dyDescent="0.2">
      <c r="A9" t="s">
        <v>8</v>
      </c>
      <c r="B9" s="7">
        <v>25000</v>
      </c>
      <c r="C9">
        <v>70</v>
      </c>
      <c r="D9">
        <v>75</v>
      </c>
      <c r="E9" s="8">
        <v>0</v>
      </c>
      <c r="F9" s="5" t="s">
        <v>17</v>
      </c>
    </row>
    <row r="10" spans="1:6" x14ac:dyDescent="0.2">
      <c r="A10" t="s">
        <v>28</v>
      </c>
      <c r="B10" s="3">
        <v>-38000</v>
      </c>
      <c r="C10">
        <v>67</v>
      </c>
      <c r="D10">
        <v>68</v>
      </c>
      <c r="E10" s="8">
        <v>0</v>
      </c>
      <c r="F10" s="5" t="s">
        <v>17</v>
      </c>
    </row>
    <row r="11" spans="1:6" x14ac:dyDescent="0.2">
      <c r="A11" t="s">
        <v>29</v>
      </c>
      <c r="B11" s="7">
        <v>25000</v>
      </c>
      <c r="C11">
        <f>C10+7</f>
        <v>74</v>
      </c>
      <c r="D11">
        <v>79</v>
      </c>
      <c r="E11" s="8">
        <v>0</v>
      </c>
      <c r="F11" s="5" t="s">
        <v>17</v>
      </c>
    </row>
    <row r="12" spans="1:6" x14ac:dyDescent="0.2">
      <c r="A12" t="s">
        <v>9</v>
      </c>
      <c r="B12" s="3">
        <v>-7584</v>
      </c>
      <c r="C12">
        <v>60</v>
      </c>
      <c r="D12">
        <v>92</v>
      </c>
      <c r="E12" s="8">
        <v>0</v>
      </c>
      <c r="F12" s="5" t="s">
        <v>17</v>
      </c>
    </row>
    <row r="13" spans="1:6" x14ac:dyDescent="0.2">
      <c r="A13" t="s">
        <v>10</v>
      </c>
      <c r="B13" s="3">
        <v>-40524</v>
      </c>
      <c r="C13">
        <v>60</v>
      </c>
      <c r="D13">
        <v>92</v>
      </c>
      <c r="E13" s="8">
        <v>0</v>
      </c>
      <c r="F13" s="5" t="s">
        <v>17</v>
      </c>
    </row>
    <row r="14" spans="1:6" x14ac:dyDescent="0.2">
      <c r="A14" t="s">
        <v>19</v>
      </c>
      <c r="B14" s="3">
        <v>-500</v>
      </c>
      <c r="C14">
        <v>61</v>
      </c>
      <c r="D14" t="s">
        <v>20</v>
      </c>
      <c r="E14" t="s">
        <v>26</v>
      </c>
      <c r="F14" s="5" t="s">
        <v>17</v>
      </c>
    </row>
    <row r="15" spans="1:6" x14ac:dyDescent="0.2">
      <c r="A15" t="s">
        <v>11</v>
      </c>
      <c r="B15" s="3">
        <v>-220000</v>
      </c>
      <c r="C15">
        <v>60</v>
      </c>
      <c r="D15">
        <v>79</v>
      </c>
      <c r="E15" t="s">
        <v>26</v>
      </c>
      <c r="F15" s="5" t="s">
        <v>18</v>
      </c>
    </row>
    <row r="16" spans="1:6" x14ac:dyDescent="0.2">
      <c r="A16" t="s">
        <v>13</v>
      </c>
      <c r="B16" s="3">
        <v>-161136</v>
      </c>
      <c r="C16">
        <v>80</v>
      </c>
      <c r="D16" t="s">
        <v>20</v>
      </c>
      <c r="E16" t="s">
        <v>26</v>
      </c>
      <c r="F16" s="5" t="s">
        <v>18</v>
      </c>
    </row>
    <row r="17" spans="1:6" x14ac:dyDescent="0.2">
      <c r="A17" t="s">
        <v>14</v>
      </c>
      <c r="B17" s="7">
        <v>36957</v>
      </c>
      <c r="C17">
        <v>70</v>
      </c>
      <c r="D17" t="s">
        <v>22</v>
      </c>
      <c r="E17" t="s">
        <v>26</v>
      </c>
      <c r="F17" s="5" t="s">
        <v>17</v>
      </c>
    </row>
    <row r="18" spans="1:6" x14ac:dyDescent="0.2">
      <c r="A18" t="s">
        <v>15</v>
      </c>
      <c r="B18" s="7">
        <v>33114</v>
      </c>
      <c r="C18">
        <v>70</v>
      </c>
      <c r="D18" t="s">
        <v>22</v>
      </c>
      <c r="E18" t="s">
        <v>26</v>
      </c>
      <c r="F18" s="5" t="s">
        <v>17</v>
      </c>
    </row>
    <row r="19" spans="1:6" x14ac:dyDescent="0.2">
      <c r="A19" t="s">
        <v>23</v>
      </c>
      <c r="B19" s="7">
        <v>3843</v>
      </c>
      <c r="C19" t="s">
        <v>22</v>
      </c>
      <c r="D19" t="s">
        <v>20</v>
      </c>
      <c r="E19" t="s">
        <v>26</v>
      </c>
      <c r="F19" s="5" t="s">
        <v>17</v>
      </c>
    </row>
    <row r="20" spans="1:6" x14ac:dyDescent="0.2">
      <c r="A20" t="s">
        <v>12</v>
      </c>
      <c r="B20" s="3">
        <v>-26856</v>
      </c>
      <c r="C20">
        <v>60</v>
      </c>
      <c r="D20">
        <v>80</v>
      </c>
      <c r="E20" t="s">
        <v>26</v>
      </c>
      <c r="F20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Fraenkel</dc:creator>
  <cp:lastModifiedBy>Bernard Fraenkel</cp:lastModifiedBy>
  <dcterms:created xsi:type="dcterms:W3CDTF">2020-02-28T22:53:52Z</dcterms:created>
  <dcterms:modified xsi:type="dcterms:W3CDTF">2025-12-21T18:58:08Z</dcterms:modified>
</cp:coreProperties>
</file>