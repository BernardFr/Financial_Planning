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fraenkel/Documents/Code/Financial_Plan/src/Risk_Parity/"/>
    </mc:Choice>
  </mc:AlternateContent>
  <xr:revisionPtr revIDLastSave="0" documentId="13_ncr:1_{C2574A38-0934-0C46-AE4B-2F931D491CA0}" xr6:coauthVersionLast="47" xr6:coauthVersionMax="47" xr10:uidLastSave="{00000000-0000-0000-0000-000000000000}"/>
  <bookViews>
    <workbookView xWindow="240" yWindow="500" windowWidth="27980" windowHeight="18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G6" i="1"/>
  <c r="H6" i="1"/>
  <c r="I6" i="1"/>
  <c r="J6" i="1"/>
  <c r="E6" i="1"/>
  <c r="M5" i="1"/>
  <c r="M4" i="1"/>
  <c r="M3" i="1"/>
  <c r="M2" i="1"/>
</calcChain>
</file>

<file path=xl/sharedStrings.xml><?xml version="1.0" encoding="utf-8"?>
<sst xmlns="http://schemas.openxmlformats.org/spreadsheetml/2006/main" count="26" uniqueCount="24">
  <si>
    <t>ticker</t>
  </si>
  <si>
    <t>price</t>
  </si>
  <si>
    <t>current_shares</t>
  </si>
  <si>
    <t>current_value</t>
  </si>
  <si>
    <t>current_weight_%</t>
  </si>
  <si>
    <t>current_risk_share_%</t>
  </si>
  <si>
    <t>target_weight_%</t>
  </si>
  <si>
    <t>target_risk_share_%</t>
  </si>
  <si>
    <t>target_value</t>
  </si>
  <si>
    <t>target_shares</t>
  </si>
  <si>
    <t>shares_to_trade</t>
  </si>
  <si>
    <t>action</t>
  </si>
  <si>
    <t>VFIAX</t>
  </si>
  <si>
    <t>VSMAX</t>
  </si>
  <si>
    <t>VEUSX</t>
  </si>
  <si>
    <t>VEMAX</t>
  </si>
  <si>
    <t>SELL</t>
  </si>
  <si>
    <t>BUY</t>
  </si>
  <si>
    <t>shares_to_trade_%</t>
  </si>
  <si>
    <t>Info</t>
  </si>
  <si>
    <t>500 Index Adm </t>
  </si>
  <si>
    <t>Small-Cap Index Adm</t>
  </si>
  <si>
    <t>European Stock Index Adm </t>
  </si>
  <si>
    <t>Emerging Mkts Stock Idx Adm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</si>
</sst>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43" fontId="2" fillId="0" borderId="1" xfId="1" applyFont="1" applyBorder="1"/>
    <xf numFmtId="0" fontId="0" fillId="0" borderId="1" xfId="0" applyBorder="1"/>
    <xf numFmtId="43" fontId="0" fillId="0" borderId="1" xfId="1" applyFont="1" applyBorder="1"/>
    <xf numFmtId="9" fontId="0" fillId="0" borderId="1" xfId="2" applyFont="1" applyBorder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pane xSplit="14" ySplit="1" topLeftCell="O2" activePane="bottomRight" state="frozen"/>
      <selection pane="topRight" activeCell="M1" sqref="M1"/>
      <selection pane="bottomLeft" activeCell="A2" sqref="A2"/>
      <selection pane="bottomRight" activeCell="M4" sqref="M4"/>
    </sheetView>
  </sheetViews>
  <sheetFormatPr baseColWidth="10" defaultColWidth="8.83203125" defaultRowHeight="15" x14ac:dyDescent="0.2"/>
  <cols>
    <col min="2" max="2" width="24" bestFit="1" customWidth="1"/>
    <col min="3" max="3" width="7.6640625" bestFit="1" customWidth="1"/>
    <col min="4" max="4" width="12.6640625" bestFit="1" customWidth="1"/>
    <col min="5" max="5" width="12" bestFit="1" customWidth="1"/>
    <col min="6" max="6" width="15.33203125" bestFit="1" customWidth="1"/>
    <col min="7" max="7" width="17.83203125" bestFit="1" customWidth="1"/>
    <col min="8" max="8" width="14.1640625" bestFit="1" customWidth="1"/>
    <col min="9" max="9" width="16.6640625" bestFit="1" customWidth="1"/>
    <col min="10" max="10" width="10.83203125" bestFit="1" customWidth="1"/>
    <col min="11" max="11" width="11.5" bestFit="1" customWidth="1"/>
    <col min="12" max="12" width="13.5" bestFit="1" customWidth="1"/>
    <col min="13" max="13" width="14.1640625" customWidth="1"/>
    <col min="14" max="14" width="6" bestFit="1" customWidth="1"/>
  </cols>
  <sheetData>
    <row r="1" spans="1:14" s="1" customFormat="1" x14ac:dyDescent="0.2">
      <c r="A1" s="2" t="s">
        <v>0</v>
      </c>
      <c r="B1" s="2" t="s">
        <v>19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18</v>
      </c>
      <c r="N1" s="2" t="s">
        <v>11</v>
      </c>
    </row>
    <row r="2" spans="1:14" x14ac:dyDescent="0.2">
      <c r="A2" s="4" t="s">
        <v>12</v>
      </c>
      <c r="B2" s="4" t="s">
        <v>20</v>
      </c>
      <c r="C2" s="5">
        <v>695.6199951171875</v>
      </c>
      <c r="D2" s="5">
        <v>294.12799999999999</v>
      </c>
      <c r="E2" s="5">
        <v>204601.31792382809</v>
      </c>
      <c r="F2" s="5">
        <v>58.946913608501482</v>
      </c>
      <c r="G2" s="5">
        <v>55.714795728302782</v>
      </c>
      <c r="H2" s="5">
        <v>28.788965387520062</v>
      </c>
      <c r="I2" s="5">
        <v>24.996843046953899</v>
      </c>
      <c r="J2" s="5">
        <v>99924.828958314887</v>
      </c>
      <c r="K2" s="5">
        <v>143.64858638297349</v>
      </c>
      <c r="L2" s="5">
        <v>-150.47941361702649</v>
      </c>
      <c r="M2" s="6">
        <f>L2/D2</f>
        <v>-0.51161199755557618</v>
      </c>
      <c r="N2" s="4" t="s">
        <v>16</v>
      </c>
    </row>
    <row r="3" spans="1:14" x14ac:dyDescent="0.2">
      <c r="A3" s="4" t="s">
        <v>13</v>
      </c>
      <c r="B3" s="4" t="s">
        <v>21</v>
      </c>
      <c r="C3" s="5">
        <v>144.5299987792969</v>
      </c>
      <c r="D3" s="5">
        <v>504.30500000000001</v>
      </c>
      <c r="E3" s="5">
        <v>72887.201034393307</v>
      </c>
      <c r="F3" s="5">
        <v>20.99925643753388</v>
      </c>
      <c r="G3" s="5">
        <v>24.339412734863082</v>
      </c>
      <c r="H3" s="5">
        <v>22.47117161053583</v>
      </c>
      <c r="I3" s="5">
        <v>25.001781818647419</v>
      </c>
      <c r="J3" s="5">
        <v>77996.133221554424</v>
      </c>
      <c r="K3" s="5">
        <v>539.65359358134128</v>
      </c>
      <c r="L3" s="5">
        <v>35.348593581341277</v>
      </c>
      <c r="M3" s="6">
        <f>L3/D3</f>
        <v>7.0093680572949457E-2</v>
      </c>
      <c r="N3" s="4" t="s">
        <v>17</v>
      </c>
    </row>
    <row r="4" spans="1:14" x14ac:dyDescent="0.2">
      <c r="A4" s="4" t="s">
        <v>14</v>
      </c>
      <c r="B4" s="4" t="s">
        <v>22</v>
      </c>
      <c r="C4" s="5">
        <v>112.4899978637695</v>
      </c>
      <c r="D4" s="5">
        <v>154.57599999999999</v>
      </c>
      <c r="E4" s="5">
        <v>17388.253909790041</v>
      </c>
      <c r="F4" s="5">
        <v>5.009664216359921</v>
      </c>
      <c r="G4" s="5">
        <v>4.8994073812508931</v>
      </c>
      <c r="H4" s="5">
        <v>23.98764611778418</v>
      </c>
      <c r="I4" s="5">
        <v>24.999258074926821</v>
      </c>
      <c r="J4" s="5">
        <v>83259.728273223955</v>
      </c>
      <c r="K4" s="5">
        <v>740.15227890799008</v>
      </c>
      <c r="L4" s="5">
        <v>585.57627890799006</v>
      </c>
      <c r="M4" s="6">
        <f>L4/D4</f>
        <v>3.7882742399078131</v>
      </c>
      <c r="N4" s="4" t="s">
        <v>17</v>
      </c>
    </row>
    <row r="5" spans="1:14" x14ac:dyDescent="0.2">
      <c r="A5" s="4" t="s">
        <v>15</v>
      </c>
      <c r="B5" s="4" t="s">
        <v>23</v>
      </c>
      <c r="C5" s="5">
        <v>49.779998779296882</v>
      </c>
      <c r="D5" s="5">
        <v>1048.9639999999999</v>
      </c>
      <c r="E5" s="5">
        <v>52217.426639526362</v>
      </c>
      <c r="F5" s="5">
        <v>15.04416573760472</v>
      </c>
      <c r="G5" s="5">
        <v>15.046384155583249</v>
      </c>
      <c r="H5" s="5">
        <v>24.752216884159949</v>
      </c>
      <c r="I5" s="5">
        <v>25.00211705947185</v>
      </c>
      <c r="J5" s="5">
        <v>85913.509054444585</v>
      </c>
      <c r="K5" s="5">
        <v>1725.864024933953</v>
      </c>
      <c r="L5" s="5">
        <v>676.90002493395332</v>
      </c>
      <c r="M5" s="6">
        <f>L5/D5</f>
        <v>0.64530338975784995</v>
      </c>
      <c r="N5" s="4" t="s">
        <v>17</v>
      </c>
    </row>
    <row r="6" spans="1:14" x14ac:dyDescent="0.2">
      <c r="E6" s="7">
        <f>SUM(E2:E5)</f>
        <v>347094.19950753782</v>
      </c>
      <c r="F6" s="7">
        <f t="shared" ref="F6:J6" si="0">SUM(F2:F5)</f>
        <v>100</v>
      </c>
      <c r="G6" s="7">
        <f t="shared" si="0"/>
        <v>100.00000000000001</v>
      </c>
      <c r="H6" s="7">
        <f t="shared" si="0"/>
        <v>100.00000000000001</v>
      </c>
      <c r="I6" s="7">
        <f t="shared" si="0"/>
        <v>100</v>
      </c>
      <c r="J6" s="7">
        <f t="shared" si="0"/>
        <v>347094.19950753788</v>
      </c>
      <c r="K6" s="7"/>
      <c r="L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 Fraenkel</cp:lastModifiedBy>
  <dcterms:created xsi:type="dcterms:W3CDTF">2026-07-07T05:05:56Z</dcterms:created>
  <dcterms:modified xsi:type="dcterms:W3CDTF">2026-07-07T05:10:54Z</dcterms:modified>
</cp:coreProperties>
</file>