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fraenkel/Documents/Code/Financial_Plan/src/Risk_Parity/"/>
    </mc:Choice>
  </mc:AlternateContent>
  <xr:revisionPtr revIDLastSave="0" documentId="13_ncr:1_{558C230A-DC03-F24B-86CC-C96146B78F93}" xr6:coauthVersionLast="47" xr6:coauthVersionMax="47" xr10:uidLastSave="{00000000-0000-0000-0000-000000000000}"/>
  <bookViews>
    <workbookView xWindow="240" yWindow="500" windowWidth="24820" windowHeight="20100" xr2:uid="{00000000-000D-0000-FFFF-FFFF00000000}"/>
  </bookViews>
  <sheets>
    <sheet name="Sheet1" sheetId="1" r:id="rId1"/>
  </sheets>
  <definedNames>
    <definedName name="_xlnm._FilterDatabase" localSheetId="0" hidden="1">Sheet1!$A$1:$M$35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19" i="1"/>
  <c r="L28" i="1"/>
  <c r="L17" i="1"/>
  <c r="L26" i="1"/>
  <c r="L25" i="1"/>
  <c r="L24" i="1"/>
  <c r="L23" i="1"/>
  <c r="L27" i="1"/>
  <c r="L10" i="1"/>
  <c r="L7" i="1"/>
  <c r="L9" i="1"/>
  <c r="L30" i="1"/>
  <c r="L12" i="1"/>
  <c r="L15" i="1"/>
  <c r="L29" i="1"/>
  <c r="L14" i="1"/>
  <c r="L8" i="1"/>
  <c r="L4" i="1"/>
  <c r="L34" i="1"/>
  <c r="L13" i="1"/>
  <c r="L11" i="1"/>
  <c r="L5" i="1"/>
  <c r="L18" i="1"/>
  <c r="L22" i="1"/>
  <c r="L2" i="1"/>
  <c r="L32" i="1"/>
  <c r="L20" i="1"/>
  <c r="L31" i="1"/>
  <c r="L3" i="1"/>
  <c r="L16" i="1"/>
  <c r="L33" i="1"/>
  <c r="L6" i="1"/>
  <c r="H36" i="1"/>
  <c r="G36" i="1"/>
  <c r="F36" i="1"/>
  <c r="E36" i="1"/>
  <c r="I36" i="1"/>
  <c r="D36" i="1"/>
</calcChain>
</file>

<file path=xl/sharedStrings.xml><?xml version="1.0" encoding="utf-8"?>
<sst xmlns="http://schemas.openxmlformats.org/spreadsheetml/2006/main" count="81" uniqueCount="49">
  <si>
    <t>ticker</t>
  </si>
  <si>
    <t>price</t>
  </si>
  <si>
    <t>current_shares</t>
  </si>
  <si>
    <t>current_value</t>
  </si>
  <si>
    <t>current_weight_%</t>
  </si>
  <si>
    <t>current_risk_share_%</t>
  </si>
  <si>
    <t>target_weight_%</t>
  </si>
  <si>
    <t>target_risk_share_%</t>
  </si>
  <si>
    <t>target_value</t>
  </si>
  <si>
    <t>target_shares</t>
  </si>
  <si>
    <t>shares_to_trade</t>
  </si>
  <si>
    <t>action</t>
  </si>
  <si>
    <t>BNDX</t>
  </si>
  <si>
    <t>CWB</t>
  </si>
  <si>
    <t>DBEF</t>
  </si>
  <si>
    <t>DBEM</t>
  </si>
  <si>
    <t>ITB</t>
  </si>
  <si>
    <t>IWC</t>
  </si>
  <si>
    <t>IWM</t>
  </si>
  <si>
    <t>IWN</t>
  </si>
  <si>
    <t>IWO</t>
  </si>
  <si>
    <t>MGC</t>
  </si>
  <si>
    <t>MOO</t>
  </si>
  <si>
    <t>PGX</t>
  </si>
  <si>
    <t>SCHP</t>
  </si>
  <si>
    <t>SCZ</t>
  </si>
  <si>
    <t>SHY</t>
  </si>
  <si>
    <t>SPTL</t>
  </si>
  <si>
    <t>VAW</t>
  </si>
  <si>
    <t>VBK</t>
  </si>
  <si>
    <t>VBR</t>
  </si>
  <si>
    <t>VCIT</t>
  </si>
  <si>
    <t>VDE</t>
  </si>
  <si>
    <t>VEA</t>
  </si>
  <si>
    <t>VGIT</t>
  </si>
  <si>
    <t>VGLT</t>
  </si>
  <si>
    <t>VGSH</t>
  </si>
  <si>
    <t>VO</t>
  </si>
  <si>
    <t>VTI</t>
  </si>
  <si>
    <t>VTIP</t>
  </si>
  <si>
    <t>VTV</t>
  </si>
  <si>
    <t>VUG</t>
  </si>
  <si>
    <t>VWO</t>
  </si>
  <si>
    <t>VWOB</t>
  </si>
  <si>
    <t>VXF</t>
  </si>
  <si>
    <t>VXUS</t>
  </si>
  <si>
    <t>BUY</t>
  </si>
  <si>
    <t>SELL</t>
  </si>
  <si>
    <t>shares_to_trade_%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</si>
</sst>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43" fontId="0" fillId="0" borderId="1" xfId="1" applyFont="1" applyBorder="1"/>
    <xf numFmtId="0" fontId="0" fillId="0" borderId="1" xfId="0" applyBorder="1"/>
    <xf numFmtId="43" fontId="0" fillId="0" borderId="2" xfId="1" applyFont="1" applyBorder="1"/>
    <xf numFmtId="0" fontId="0" fillId="0" borderId="2" xfId="0" applyBorder="1"/>
    <xf numFmtId="43" fontId="2" fillId="0" borderId="3" xfId="1" applyFont="1" applyBorder="1"/>
    <xf numFmtId="43" fontId="2" fillId="0" borderId="4" xfId="1" applyFont="1" applyBorder="1"/>
    <xf numFmtId="0" fontId="2" fillId="0" borderId="5" xfId="0" applyFont="1" applyBorder="1"/>
    <xf numFmtId="44" fontId="2" fillId="0" borderId="4" xfId="2" applyFont="1" applyBorder="1"/>
    <xf numFmtId="44" fontId="0" fillId="0" borderId="2" xfId="2" applyFont="1" applyBorder="1"/>
    <xf numFmtId="44" fontId="0" fillId="0" borderId="1" xfId="2" applyFont="1" applyBorder="1"/>
    <xf numFmtId="44" fontId="0" fillId="0" borderId="0" xfId="2" applyFont="1"/>
    <xf numFmtId="43" fontId="2" fillId="0" borderId="6" xfId="1" applyFont="1" applyBorder="1"/>
    <xf numFmtId="9" fontId="0" fillId="0" borderId="2" xfId="3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xSplit="13" ySplit="1" topLeftCell="N2" activePane="bottomRight" state="frozen"/>
      <selection pane="topRight" activeCell="M1" sqref="M1"/>
      <selection pane="bottomLeft" activeCell="A2" sqref="A2"/>
      <selection pane="bottomRight" activeCell="J45" sqref="J45"/>
    </sheetView>
  </sheetViews>
  <sheetFormatPr baseColWidth="10" defaultColWidth="8.83203125" defaultRowHeight="15" x14ac:dyDescent="0.2"/>
  <cols>
    <col min="1" max="1" width="7" bestFit="1" customWidth="1"/>
    <col min="2" max="2" width="8.6640625" style="12" bestFit="1" customWidth="1"/>
    <col min="3" max="3" width="13.33203125" bestFit="1" customWidth="1"/>
    <col min="4" max="4" width="13.6640625" style="12" bestFit="1" customWidth="1"/>
    <col min="5" max="5" width="16" bestFit="1" customWidth="1"/>
    <col min="6" max="6" width="18.5" bestFit="1" customWidth="1"/>
    <col min="7" max="7" width="14.83203125" bestFit="1" customWidth="1"/>
    <col min="8" max="8" width="17.33203125" bestFit="1" customWidth="1"/>
    <col min="9" max="9" width="13.6640625" style="12" bestFit="1" customWidth="1"/>
    <col min="10" max="10" width="12.1640625" bestFit="1" customWidth="1"/>
    <col min="11" max="11" width="14.1640625" bestFit="1" customWidth="1"/>
    <col min="12" max="12" width="14.1640625" customWidth="1"/>
  </cols>
  <sheetData>
    <row r="1" spans="1:13" ht="16" thickBot="1" x14ac:dyDescent="0.25">
      <c r="A1" s="6" t="s">
        <v>0</v>
      </c>
      <c r="B1" s="9" t="s">
        <v>1</v>
      </c>
      <c r="C1" s="7" t="s">
        <v>2</v>
      </c>
      <c r="D1" s="9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7" t="s">
        <v>9</v>
      </c>
      <c r="K1" s="7" t="s">
        <v>10</v>
      </c>
      <c r="L1" s="13" t="s">
        <v>48</v>
      </c>
      <c r="M1" s="8" t="s">
        <v>11</v>
      </c>
    </row>
    <row r="2" spans="1:13" x14ac:dyDescent="0.2">
      <c r="A2" s="4" t="s">
        <v>39</v>
      </c>
      <c r="B2" s="10">
        <v>49.650001525878913</v>
      </c>
      <c r="C2" s="4">
        <v>1341</v>
      </c>
      <c r="D2" s="10">
        <v>66580.652046203613</v>
      </c>
      <c r="E2" s="4">
        <v>1.8730911133143391</v>
      </c>
      <c r="F2" s="4">
        <v>3.3598566272653972E-2</v>
      </c>
      <c r="G2" s="4">
        <v>16.472459152975041</v>
      </c>
      <c r="H2" s="4">
        <v>2.7032486276159702</v>
      </c>
      <c r="I2" s="10">
        <v>585527.88137940341</v>
      </c>
      <c r="J2" s="4">
        <v>11793.10903090729</v>
      </c>
      <c r="K2" s="4">
        <v>10452.10903090729</v>
      </c>
      <c r="L2" s="14">
        <f>K2/C2</f>
        <v>7.7942647508630047</v>
      </c>
      <c r="M2" s="5" t="s">
        <v>46</v>
      </c>
    </row>
    <row r="3" spans="1:13" x14ac:dyDescent="0.2">
      <c r="A3" s="2" t="s">
        <v>43</v>
      </c>
      <c r="B3" s="11">
        <v>67.050003051757812</v>
      </c>
      <c r="C3" s="2">
        <v>229</v>
      </c>
      <c r="D3" s="11">
        <v>15354.450698852541</v>
      </c>
      <c r="E3" s="2">
        <v>0.43196160250707138</v>
      </c>
      <c r="F3" s="2">
        <v>0.1419065960248436</v>
      </c>
      <c r="G3" s="2">
        <v>2.6336902523664651</v>
      </c>
      <c r="H3" s="2">
        <v>2.9428195714373491</v>
      </c>
      <c r="I3" s="11">
        <v>93616.809691660907</v>
      </c>
      <c r="J3" s="2">
        <v>1396.223794641671</v>
      </c>
      <c r="K3" s="2">
        <v>1167.223794641671</v>
      </c>
      <c r="L3" s="14">
        <f>K3/C3</f>
        <v>5.0970471381732363</v>
      </c>
      <c r="M3" s="3" t="s">
        <v>46</v>
      </c>
    </row>
    <row r="4" spans="1:13" x14ac:dyDescent="0.2">
      <c r="A4" s="2" t="s">
        <v>32</v>
      </c>
      <c r="B4" s="11">
        <v>150.1499938964844</v>
      </c>
      <c r="C4" s="2">
        <v>209</v>
      </c>
      <c r="D4" s="11">
        <v>31381.348724365231</v>
      </c>
      <c r="E4" s="2">
        <v>0.88284093971678668</v>
      </c>
      <c r="F4" s="2">
        <v>-3.1341233332043819E-2</v>
      </c>
      <c r="G4" s="2">
        <v>4.2908012013900816</v>
      </c>
      <c r="H4" s="2">
        <v>2.9476432966714179</v>
      </c>
      <c r="I4" s="11">
        <v>152520.2590298352</v>
      </c>
      <c r="J4" s="2">
        <v>1015.78598221579</v>
      </c>
      <c r="K4" s="2">
        <v>806.78598221578966</v>
      </c>
      <c r="L4" s="14">
        <f>K4/C4</f>
        <v>3.8602200106018643</v>
      </c>
      <c r="M4" s="3" t="s">
        <v>46</v>
      </c>
    </row>
    <row r="5" spans="1:13" x14ac:dyDescent="0.2">
      <c r="A5" s="2" t="s">
        <v>36</v>
      </c>
      <c r="B5" s="11">
        <v>58.110000610351562</v>
      </c>
      <c r="C5" s="2">
        <v>2112</v>
      </c>
      <c r="D5" s="11">
        <v>122728.3212890625</v>
      </c>
      <c r="E5" s="2">
        <v>3.4526746268421031</v>
      </c>
      <c r="F5" s="2">
        <v>0.1200507993310647</v>
      </c>
      <c r="G5" s="2">
        <v>16.452925501449428</v>
      </c>
      <c r="H5" s="2">
        <v>3.078612778150366</v>
      </c>
      <c r="I5" s="11">
        <v>584833.54075380648</v>
      </c>
      <c r="J5" s="2">
        <v>10064.24943402299</v>
      </c>
      <c r="K5" s="2">
        <v>7952.2494340229932</v>
      </c>
      <c r="L5" s="14">
        <f>K5/C5</f>
        <v>3.7652696183820993</v>
      </c>
      <c r="M5" s="3" t="s">
        <v>46</v>
      </c>
    </row>
    <row r="6" spans="1:13" x14ac:dyDescent="0.2">
      <c r="A6" s="2" t="s">
        <v>12</v>
      </c>
      <c r="B6" s="11">
        <v>48.220001220703118</v>
      </c>
      <c r="C6" s="2">
        <v>788</v>
      </c>
      <c r="D6" s="11">
        <v>37997.360961914062</v>
      </c>
      <c r="E6" s="2">
        <v>1.068966989055143</v>
      </c>
      <c r="F6" s="2">
        <v>0.17815440596307461</v>
      </c>
      <c r="G6" s="2">
        <v>4.9977701406081918</v>
      </c>
      <c r="H6" s="2">
        <v>2.9472673882215168</v>
      </c>
      <c r="I6" s="11">
        <v>177650.08459729841</v>
      </c>
      <c r="J6" s="2">
        <v>3684.1576130243811</v>
      </c>
      <c r="K6" s="2">
        <v>2896.1576130243811</v>
      </c>
      <c r="L6" s="14">
        <f>K6/C6</f>
        <v>3.675326920081702</v>
      </c>
      <c r="M6" s="3" t="s">
        <v>46</v>
      </c>
    </row>
    <row r="7" spans="1:13" x14ac:dyDescent="0.2">
      <c r="A7" s="2" t="s">
        <v>23</v>
      </c>
      <c r="B7" s="11">
        <v>10.920000076293951</v>
      </c>
      <c r="C7" s="2">
        <v>2244</v>
      </c>
      <c r="D7" s="11">
        <v>24504.48017120361</v>
      </c>
      <c r="E7" s="2">
        <v>0.68937630729746013</v>
      </c>
      <c r="F7" s="2">
        <v>0.2219346262876026</v>
      </c>
      <c r="G7" s="2">
        <v>2.607368176283678</v>
      </c>
      <c r="H7" s="2">
        <v>2.8682964676773448</v>
      </c>
      <c r="I7" s="11">
        <v>92681.168613475063</v>
      </c>
      <c r="J7" s="2">
        <v>8487.2864437679946</v>
      </c>
      <c r="K7" s="2">
        <v>6243.2864437679946</v>
      </c>
      <c r="L7" s="14">
        <f>K7/C7</f>
        <v>2.7822132102352919</v>
      </c>
      <c r="M7" s="3" t="s">
        <v>46</v>
      </c>
    </row>
    <row r="8" spans="1:13" x14ac:dyDescent="0.2">
      <c r="A8" s="2" t="s">
        <v>31</v>
      </c>
      <c r="B8" s="11">
        <v>82.389999389648438</v>
      </c>
      <c r="C8" s="2">
        <v>464</v>
      </c>
      <c r="D8" s="11">
        <v>38228.959716796882</v>
      </c>
      <c r="E8" s="2">
        <v>1.075482479010462</v>
      </c>
      <c r="F8" s="2">
        <v>0.219447255034283</v>
      </c>
      <c r="G8" s="2">
        <v>3.5677709674520832</v>
      </c>
      <c r="H8" s="2">
        <v>2.9627813253108481</v>
      </c>
      <c r="I8" s="11">
        <v>126819.5207782239</v>
      </c>
      <c r="J8" s="2">
        <v>1539.258668742722</v>
      </c>
      <c r="K8" s="2">
        <v>1075.258668742722</v>
      </c>
      <c r="L8" s="14">
        <f>K8/C8</f>
        <v>2.3173678205662109</v>
      </c>
      <c r="M8" s="3" t="s">
        <v>46</v>
      </c>
    </row>
    <row r="9" spans="1:13" x14ac:dyDescent="0.2">
      <c r="A9" s="2" t="s">
        <v>24</v>
      </c>
      <c r="B9" s="11">
        <v>26.29999923706055</v>
      </c>
      <c r="C9" s="2">
        <v>2412</v>
      </c>
      <c r="D9" s="11">
        <v>63435.598159790039</v>
      </c>
      <c r="E9" s="2">
        <v>1.7846123690471909</v>
      </c>
      <c r="F9" s="2">
        <v>0.18719899894964689</v>
      </c>
      <c r="G9" s="2">
        <v>5.0902254079750113</v>
      </c>
      <c r="H9" s="2">
        <v>2.8396909474541978</v>
      </c>
      <c r="I9" s="11">
        <v>180936.48745438989</v>
      </c>
      <c r="J9" s="2">
        <v>6879.7145514523008</v>
      </c>
      <c r="K9" s="2">
        <v>4467.7145514523008</v>
      </c>
      <c r="L9" s="14">
        <f>K9/C9</f>
        <v>1.85228629828039</v>
      </c>
      <c r="M9" s="3" t="s">
        <v>46</v>
      </c>
    </row>
    <row r="10" spans="1:13" x14ac:dyDescent="0.2">
      <c r="A10" s="2" t="s">
        <v>22</v>
      </c>
      <c r="B10" s="11">
        <v>81.44000244140625</v>
      </c>
      <c r="C10" s="2">
        <v>317</v>
      </c>
      <c r="D10" s="11">
        <v>25816.480773925781</v>
      </c>
      <c r="E10" s="2">
        <v>0.72628637942947483</v>
      </c>
      <c r="F10" s="2">
        <v>0.51445275514084543</v>
      </c>
      <c r="G10" s="2">
        <v>1.208126965316707</v>
      </c>
      <c r="H10" s="2">
        <v>2.9362905964718902</v>
      </c>
      <c r="I10" s="11">
        <v>42943.923300696712</v>
      </c>
      <c r="J10" s="2">
        <v>527.30749034043356</v>
      </c>
      <c r="K10" s="2">
        <v>210.30749034043359</v>
      </c>
      <c r="L10" s="14">
        <f>K10/C10</f>
        <v>0.66343056889726681</v>
      </c>
      <c r="M10" s="3" t="s">
        <v>46</v>
      </c>
    </row>
    <row r="11" spans="1:13" x14ac:dyDescent="0.2">
      <c r="A11" s="2" t="s">
        <v>35</v>
      </c>
      <c r="B11" s="11">
        <v>54.630001068115227</v>
      </c>
      <c r="C11" s="2">
        <v>1144</v>
      </c>
      <c r="D11" s="11">
        <v>62496.721221923828</v>
      </c>
      <c r="E11" s="2">
        <v>1.7581992596112459</v>
      </c>
      <c r="F11" s="2">
        <v>0.46381558067049472</v>
      </c>
      <c r="G11" s="2">
        <v>2.2976316236176482</v>
      </c>
      <c r="H11" s="2">
        <v>2.932731074474173</v>
      </c>
      <c r="I11" s="11">
        <v>81671.313570942133</v>
      </c>
      <c r="J11" s="2">
        <v>1494.9901514574481</v>
      </c>
      <c r="K11" s="2">
        <v>350.99015145744778</v>
      </c>
      <c r="L11" s="14">
        <f>K11/C11</f>
        <v>0.30680957295231448</v>
      </c>
      <c r="M11" s="3" t="s">
        <v>46</v>
      </c>
    </row>
    <row r="12" spans="1:13" x14ac:dyDescent="0.2">
      <c r="A12" s="2" t="s">
        <v>27</v>
      </c>
      <c r="B12" s="11">
        <v>25.979999542236332</v>
      </c>
      <c r="C12" s="2">
        <v>2423</v>
      </c>
      <c r="D12" s="11">
        <v>62949.538890838623</v>
      </c>
      <c r="E12" s="2">
        <v>1.770938226946793</v>
      </c>
      <c r="F12" s="2">
        <v>0.4721682888384604</v>
      </c>
      <c r="G12" s="2">
        <v>2.28370514088274</v>
      </c>
      <c r="H12" s="2">
        <v>2.9359249053932581</v>
      </c>
      <c r="I12" s="11">
        <v>81176.284634757787</v>
      </c>
      <c r="J12" s="2">
        <v>3124.5683627818198</v>
      </c>
      <c r="K12" s="2">
        <v>701.56836278181981</v>
      </c>
      <c r="L12" s="14">
        <f>K12/C12</f>
        <v>0.28954534163508866</v>
      </c>
      <c r="M12" s="3" t="s">
        <v>46</v>
      </c>
    </row>
    <row r="13" spans="1:13" x14ac:dyDescent="0.2">
      <c r="A13" s="2" t="s">
        <v>34</v>
      </c>
      <c r="B13" s="11">
        <v>58.810001373291023</v>
      </c>
      <c r="C13" s="2">
        <v>2930</v>
      </c>
      <c r="D13" s="11">
        <v>172313.3040237427</v>
      </c>
      <c r="E13" s="2">
        <v>4.8476322858587544</v>
      </c>
      <c r="F13" s="2">
        <v>0.5281063459487213</v>
      </c>
      <c r="G13" s="2">
        <v>5.424593162440333</v>
      </c>
      <c r="H13" s="2">
        <v>2.9377048880794892</v>
      </c>
      <c r="I13" s="11">
        <v>192821.87997869361</v>
      </c>
      <c r="J13" s="2">
        <v>3278.725990070544</v>
      </c>
      <c r="K13" s="2">
        <v>348.7259900705435</v>
      </c>
      <c r="L13" s="14">
        <f>K13/C13</f>
        <v>0.11901910923909334</v>
      </c>
      <c r="M13" s="3" t="s">
        <v>46</v>
      </c>
    </row>
    <row r="14" spans="1:13" x14ac:dyDescent="0.2">
      <c r="A14" s="2" t="s">
        <v>30</v>
      </c>
      <c r="B14" s="11">
        <v>243.49000549316409</v>
      </c>
      <c r="C14" s="2">
        <v>125</v>
      </c>
      <c r="D14" s="11">
        <v>30436.250686645511</v>
      </c>
      <c r="E14" s="2">
        <v>0.85625281416891486</v>
      </c>
      <c r="F14" s="2">
        <v>0.92407720728531206</v>
      </c>
      <c r="G14" s="2">
        <v>0.86123766526068257</v>
      </c>
      <c r="H14" s="2">
        <v>2.9281854634372979</v>
      </c>
      <c r="I14" s="11">
        <v>30613.441552420241</v>
      </c>
      <c r="J14" s="2">
        <v>125.7277130961324</v>
      </c>
      <c r="K14" s="2">
        <v>0.72771309613244739</v>
      </c>
      <c r="L14" s="14">
        <f>K14/C14</f>
        <v>5.8217047690595795E-3</v>
      </c>
      <c r="M14" s="3" t="s">
        <v>46</v>
      </c>
    </row>
    <row r="15" spans="1:13" x14ac:dyDescent="0.2">
      <c r="A15" s="2" t="s">
        <v>28</v>
      </c>
      <c r="B15" s="11">
        <v>232.05999755859381</v>
      </c>
      <c r="C15" s="2">
        <v>128</v>
      </c>
      <c r="D15" s="11">
        <v>29703.6796875</v>
      </c>
      <c r="E15" s="2">
        <v>0.83564364038943539</v>
      </c>
      <c r="F15" s="2">
        <v>1.05751086063651</v>
      </c>
      <c r="G15" s="2">
        <v>0.75830486819658405</v>
      </c>
      <c r="H15" s="2">
        <v>2.9359973619261548</v>
      </c>
      <c r="I15" s="11">
        <v>26954.605793309409</v>
      </c>
      <c r="J15" s="2">
        <v>116.15360715714711</v>
      </c>
      <c r="K15" s="2">
        <v>-11.846392842852939</v>
      </c>
      <c r="L15" s="14">
        <f>K15/C15</f>
        <v>-9.2549944084788588E-2</v>
      </c>
      <c r="M15" s="3" t="s">
        <v>47</v>
      </c>
    </row>
    <row r="16" spans="1:13" x14ac:dyDescent="0.2">
      <c r="A16" s="2" t="s">
        <v>44</v>
      </c>
      <c r="B16" s="11">
        <v>244.77000427246091</v>
      </c>
      <c r="C16" s="2">
        <v>125</v>
      </c>
      <c r="D16" s="11">
        <v>30596.250534057621</v>
      </c>
      <c r="E16" s="2">
        <v>0.86075403611716628</v>
      </c>
      <c r="F16" s="2">
        <v>1.19091327356628</v>
      </c>
      <c r="G16" s="2">
        <v>0.73117705328458993</v>
      </c>
      <c r="H16" s="2">
        <v>2.9538104044113749</v>
      </c>
      <c r="I16" s="11">
        <v>25990.324027948122</v>
      </c>
      <c r="J16" s="2">
        <v>106.182635021804</v>
      </c>
      <c r="K16" s="2">
        <v>-18.817364978196029</v>
      </c>
      <c r="L16" s="14">
        <f>K16/C16</f>
        <v>-0.15053891982556822</v>
      </c>
      <c r="M16" s="3" t="s">
        <v>47</v>
      </c>
    </row>
    <row r="17" spans="1:13" x14ac:dyDescent="0.2">
      <c r="A17" s="2" t="s">
        <v>16</v>
      </c>
      <c r="B17" s="11">
        <v>101.30999755859381</v>
      </c>
      <c r="C17" s="2">
        <v>257</v>
      </c>
      <c r="D17" s="11">
        <v>26036.66937255859</v>
      </c>
      <c r="E17" s="2">
        <v>0.73248087129275741</v>
      </c>
      <c r="F17" s="2">
        <v>1.096679393222743</v>
      </c>
      <c r="G17" s="2">
        <v>0.54927303240919823</v>
      </c>
      <c r="H17" s="2">
        <v>2.93731564367592</v>
      </c>
      <c r="I17" s="11">
        <v>19524.38746265231</v>
      </c>
      <c r="J17" s="2">
        <v>192.71925706404409</v>
      </c>
      <c r="K17" s="2">
        <v>-64.280742935955857</v>
      </c>
      <c r="L17" s="14">
        <f>K17/C17</f>
        <v>-0.2501196223188944</v>
      </c>
      <c r="M17" s="3" t="s">
        <v>47</v>
      </c>
    </row>
    <row r="18" spans="1:13" x14ac:dyDescent="0.2">
      <c r="A18" s="2" t="s">
        <v>37</v>
      </c>
      <c r="B18" s="11">
        <v>80.910003662109375</v>
      </c>
      <c r="C18" s="2">
        <v>834</v>
      </c>
      <c r="D18" s="11">
        <v>67478.943054199219</v>
      </c>
      <c r="E18" s="2">
        <v>1.8983624324218651</v>
      </c>
      <c r="F18" s="2">
        <v>1.862844458807164</v>
      </c>
      <c r="G18" s="2">
        <v>0.9989679185482363</v>
      </c>
      <c r="H18" s="2">
        <v>2.933380247306264</v>
      </c>
      <c r="I18" s="11">
        <v>35509.183145122573</v>
      </c>
      <c r="J18" s="2">
        <v>438.87259347328052</v>
      </c>
      <c r="K18" s="2">
        <v>-395.12740652671948</v>
      </c>
      <c r="L18" s="14">
        <f>K18/C18</f>
        <v>-0.47377386873707372</v>
      </c>
      <c r="M18" s="3" t="s">
        <v>47</v>
      </c>
    </row>
    <row r="19" spans="1:13" x14ac:dyDescent="0.2">
      <c r="A19" s="2" t="s">
        <v>14</v>
      </c>
      <c r="B19" s="11">
        <v>55.380001068115227</v>
      </c>
      <c r="C19" s="2">
        <v>1365</v>
      </c>
      <c r="D19" s="11">
        <v>75593.701457977295</v>
      </c>
      <c r="E19" s="2">
        <v>2.1266522040849871</v>
      </c>
      <c r="F19" s="2">
        <v>2.153727401378482</v>
      </c>
      <c r="G19" s="2">
        <v>1.1114448155945671</v>
      </c>
      <c r="H19" s="2">
        <v>2.94249848611951</v>
      </c>
      <c r="I19" s="11">
        <v>39507.272235528537</v>
      </c>
      <c r="J19" s="2">
        <v>713.38518370442318</v>
      </c>
      <c r="K19" s="2">
        <v>-651.61481629557682</v>
      </c>
      <c r="L19" s="14">
        <f>K19/C19</f>
        <v>-0.47737349179163135</v>
      </c>
      <c r="M19" s="3" t="s">
        <v>47</v>
      </c>
    </row>
    <row r="20" spans="1:13" x14ac:dyDescent="0.2">
      <c r="A20" s="2" t="s">
        <v>41</v>
      </c>
      <c r="B20" s="11">
        <v>86.680000305175781</v>
      </c>
      <c r="C20" s="2">
        <v>914</v>
      </c>
      <c r="D20" s="11">
        <v>79225.520278930664</v>
      </c>
      <c r="E20" s="2">
        <v>2.228824942705431</v>
      </c>
      <c r="F20" s="2">
        <v>2.5369852469416641</v>
      </c>
      <c r="G20" s="2">
        <v>1.017265806043711</v>
      </c>
      <c r="H20" s="2">
        <v>2.943308485613247</v>
      </c>
      <c r="I20" s="11">
        <v>36159.597463922619</v>
      </c>
      <c r="J20" s="2">
        <v>417.1619443541174</v>
      </c>
      <c r="K20" s="2">
        <v>-496.8380556458826</v>
      </c>
      <c r="L20" s="14">
        <f>K20/C20</f>
        <v>-0.54358649414210347</v>
      </c>
      <c r="M20" s="3" t="s">
        <v>47</v>
      </c>
    </row>
    <row r="21" spans="1:13" x14ac:dyDescent="0.2">
      <c r="A21" s="2" t="s">
        <v>13</v>
      </c>
      <c r="B21" s="11">
        <v>105.3300018310547</v>
      </c>
      <c r="C21" s="2">
        <v>778</v>
      </c>
      <c r="D21" s="11">
        <v>81946.741424560547</v>
      </c>
      <c r="E21" s="2">
        <v>2.3053801428813809</v>
      </c>
      <c r="F21" s="2">
        <v>2.522757860201883</v>
      </c>
      <c r="G21" s="2">
        <v>1.029498659254152</v>
      </c>
      <c r="H21" s="2">
        <v>2.9443874475133449</v>
      </c>
      <c r="I21" s="11">
        <v>36594.424866256253</v>
      </c>
      <c r="J21" s="2">
        <v>347.42641441279301</v>
      </c>
      <c r="K21" s="2">
        <v>-430.57358558720699</v>
      </c>
      <c r="L21" s="14">
        <f>K21/C21</f>
        <v>-0.55343648533060019</v>
      </c>
      <c r="M21" s="3" t="s">
        <v>47</v>
      </c>
    </row>
    <row r="22" spans="1:13" x14ac:dyDescent="0.2">
      <c r="A22" s="2" t="s">
        <v>38</v>
      </c>
      <c r="B22" s="11">
        <v>371.67001342773438</v>
      </c>
      <c r="C22" s="2">
        <v>228</v>
      </c>
      <c r="D22" s="11">
        <v>84740.763061523438</v>
      </c>
      <c r="E22" s="2">
        <v>2.3839834148194718</v>
      </c>
      <c r="F22" s="2">
        <v>2.4164941469232568</v>
      </c>
      <c r="G22" s="2">
        <v>1.059387637709426</v>
      </c>
      <c r="H22" s="2">
        <v>2.9457763781309798</v>
      </c>
      <c r="I22" s="11">
        <v>37656.854590257142</v>
      </c>
      <c r="J22" s="2">
        <v>101.31797893234921</v>
      </c>
      <c r="K22" s="2">
        <v>-126.68202106765079</v>
      </c>
      <c r="L22" s="14">
        <f>K22/C22</f>
        <v>-0.55562289941952103</v>
      </c>
      <c r="M22" s="3" t="s">
        <v>47</v>
      </c>
    </row>
    <row r="23" spans="1:13" x14ac:dyDescent="0.2">
      <c r="A23" s="2" t="s">
        <v>20</v>
      </c>
      <c r="B23" s="11">
        <v>389.989990234375</v>
      </c>
      <c r="C23" s="2">
        <v>132</v>
      </c>
      <c r="D23" s="11">
        <v>51478.6787109375</v>
      </c>
      <c r="E23" s="2">
        <v>1.448232371646158</v>
      </c>
      <c r="F23" s="2">
        <v>2.4452509282769981</v>
      </c>
      <c r="G23" s="2">
        <v>0.61354240829963425</v>
      </c>
      <c r="H23" s="2">
        <v>2.9414226302183502</v>
      </c>
      <c r="I23" s="11">
        <v>21808.898303033238</v>
      </c>
      <c r="J23" s="2">
        <v>55.921687348761417</v>
      </c>
      <c r="K23" s="2">
        <v>-76.078312651238576</v>
      </c>
      <c r="L23" s="14">
        <f>K23/C23</f>
        <v>-0.57635085341847403</v>
      </c>
      <c r="M23" s="3" t="s">
        <v>47</v>
      </c>
    </row>
    <row r="24" spans="1:13" x14ac:dyDescent="0.2">
      <c r="A24" s="2" t="s">
        <v>19</v>
      </c>
      <c r="B24" s="11">
        <v>221.74000549316409</v>
      </c>
      <c r="C24" s="2">
        <v>313</v>
      </c>
      <c r="D24" s="11">
        <v>69404.621719360352</v>
      </c>
      <c r="E24" s="2">
        <v>1.952536903292311</v>
      </c>
      <c r="F24" s="2">
        <v>2.528004140251491</v>
      </c>
      <c r="G24" s="2">
        <v>0.73002376221875431</v>
      </c>
      <c r="H24" s="2">
        <v>2.9102975226956111</v>
      </c>
      <c r="I24" s="11">
        <v>25949.329294367581</v>
      </c>
      <c r="J24" s="2">
        <v>117.0259251895236</v>
      </c>
      <c r="K24" s="2">
        <v>-195.9740748104764</v>
      </c>
      <c r="L24" s="14">
        <f>K24/C24</f>
        <v>-0.62611525498554754</v>
      </c>
      <c r="M24" s="3" t="s">
        <v>47</v>
      </c>
    </row>
    <row r="25" spans="1:13" x14ac:dyDescent="0.2">
      <c r="A25" s="2" t="s">
        <v>18</v>
      </c>
      <c r="B25" s="11">
        <v>298.89999389648438</v>
      </c>
      <c r="C25" s="2">
        <v>227</v>
      </c>
      <c r="D25" s="11">
        <v>67850.298614501953</v>
      </c>
      <c r="E25" s="2">
        <v>1.908809653626611</v>
      </c>
      <c r="F25" s="2">
        <v>2.8786901122295361</v>
      </c>
      <c r="G25" s="2">
        <v>0.66327969299900968</v>
      </c>
      <c r="H25" s="2">
        <v>2.946690374506578</v>
      </c>
      <c r="I25" s="11">
        <v>23576.85332815344</v>
      </c>
      <c r="J25" s="2">
        <v>78.878734725965316</v>
      </c>
      <c r="K25" s="2">
        <v>-148.1212652740347</v>
      </c>
      <c r="L25" s="14">
        <f>K25/C25</f>
        <v>-0.65251658711028504</v>
      </c>
      <c r="M25" s="3" t="s">
        <v>47</v>
      </c>
    </row>
    <row r="26" spans="1:13" x14ac:dyDescent="0.2">
      <c r="A26" s="2" t="s">
        <v>17</v>
      </c>
      <c r="B26" s="11">
        <v>198.6499938964844</v>
      </c>
      <c r="C26" s="2">
        <v>324</v>
      </c>
      <c r="D26" s="11">
        <v>64362.598022460938</v>
      </c>
      <c r="E26" s="2">
        <v>1.8106913447172941</v>
      </c>
      <c r="F26" s="2">
        <v>3.1632528838885832</v>
      </c>
      <c r="G26" s="2">
        <v>0.59331034130213678</v>
      </c>
      <c r="H26" s="2">
        <v>2.9388679722761659</v>
      </c>
      <c r="I26" s="11">
        <v>21089.731892301461</v>
      </c>
      <c r="J26" s="2">
        <v>106.165278330143</v>
      </c>
      <c r="K26" s="2">
        <v>-217.834721669857</v>
      </c>
      <c r="L26" s="14">
        <f>K26/C26</f>
        <v>-0.67232938786992902</v>
      </c>
      <c r="M26" s="3" t="s">
        <v>47</v>
      </c>
    </row>
    <row r="27" spans="1:13" x14ac:dyDescent="0.2">
      <c r="A27" s="2" t="s">
        <v>21</v>
      </c>
      <c r="B27" s="11">
        <v>275.3599853515625</v>
      </c>
      <c r="C27" s="2">
        <v>527</v>
      </c>
      <c r="D27" s="11">
        <v>145114.71228027341</v>
      </c>
      <c r="E27" s="2">
        <v>4.082463442904146</v>
      </c>
      <c r="F27" s="2">
        <v>3.9759221601379799</v>
      </c>
      <c r="G27" s="2">
        <v>1.1433957053654951</v>
      </c>
      <c r="H27" s="2">
        <v>2.9351029179510779</v>
      </c>
      <c r="I27" s="11">
        <v>40642.994389823849</v>
      </c>
      <c r="J27" s="2">
        <v>147.59949357904489</v>
      </c>
      <c r="K27" s="2">
        <v>-379.40050642095508</v>
      </c>
      <c r="L27" s="14">
        <f>K27/C27</f>
        <v>-0.71992505962230569</v>
      </c>
      <c r="M27" s="3" t="s">
        <v>47</v>
      </c>
    </row>
    <row r="28" spans="1:13" x14ac:dyDescent="0.2">
      <c r="A28" s="2" t="s">
        <v>15</v>
      </c>
      <c r="B28" s="11">
        <v>40.459999084472663</v>
      </c>
      <c r="C28" s="2">
        <v>2379</v>
      </c>
      <c r="D28" s="11">
        <v>96254.337821960449</v>
      </c>
      <c r="E28" s="2">
        <v>2.7078909450624802</v>
      </c>
      <c r="F28" s="2">
        <v>4.2043911994753884</v>
      </c>
      <c r="G28" s="2">
        <v>0.74511144891433223</v>
      </c>
      <c r="H28" s="2">
        <v>2.953460616000795</v>
      </c>
      <c r="I28" s="11">
        <v>26485.634234858651</v>
      </c>
      <c r="J28" s="2">
        <v>654.61282338543242</v>
      </c>
      <c r="K28" s="2">
        <v>-1724.387176614568</v>
      </c>
      <c r="L28" s="14">
        <f>K28/C28</f>
        <v>-0.7248369805021303</v>
      </c>
      <c r="M28" s="3" t="s">
        <v>47</v>
      </c>
    </row>
    <row r="29" spans="1:13" x14ac:dyDescent="0.2">
      <c r="A29" s="2" t="s">
        <v>29</v>
      </c>
      <c r="B29" s="11">
        <v>360.739990234375</v>
      </c>
      <c r="C29" s="2">
        <v>255</v>
      </c>
      <c r="D29" s="11">
        <v>91988.697509765625</v>
      </c>
      <c r="E29" s="2">
        <v>2.5878871193891748</v>
      </c>
      <c r="F29" s="2">
        <v>4.040066365681489</v>
      </c>
      <c r="G29" s="2">
        <v>0.65677144883843619</v>
      </c>
      <c r="H29" s="2">
        <v>2.9382485173441819</v>
      </c>
      <c r="I29" s="11">
        <v>23345.512131344211</v>
      </c>
      <c r="J29" s="2">
        <v>64.715620012564969</v>
      </c>
      <c r="K29" s="2">
        <v>-190.28437998743499</v>
      </c>
      <c r="L29" s="14">
        <f>K29/C29</f>
        <v>-0.74621325485268619</v>
      </c>
      <c r="M29" s="3" t="s">
        <v>47</v>
      </c>
    </row>
    <row r="30" spans="1:13" x14ac:dyDescent="0.2">
      <c r="A30" s="2" t="s">
        <v>25</v>
      </c>
      <c r="B30" s="11">
        <v>84.699996948242188</v>
      </c>
      <c r="C30" s="2">
        <v>1480</v>
      </c>
      <c r="D30" s="11">
        <v>125355.99548339839</v>
      </c>
      <c r="E30" s="2">
        <v>3.526598102068518</v>
      </c>
      <c r="F30" s="2">
        <v>4.1441454483985058</v>
      </c>
      <c r="G30" s="2">
        <v>0.89389843016223214</v>
      </c>
      <c r="H30" s="2">
        <v>2.9466997793854031</v>
      </c>
      <c r="I30" s="11">
        <v>31774.396835383031</v>
      </c>
      <c r="J30" s="2">
        <v>375.14047202149823</v>
      </c>
      <c r="K30" s="2">
        <v>-1104.859527978502</v>
      </c>
      <c r="L30" s="14">
        <f>K30/C30</f>
        <v>-0.74652670809358246</v>
      </c>
      <c r="M30" s="3" t="s">
        <v>47</v>
      </c>
    </row>
    <row r="31" spans="1:13" x14ac:dyDescent="0.2">
      <c r="A31" s="2" t="s">
        <v>42</v>
      </c>
      <c r="B31" s="11">
        <v>60.069999694824219</v>
      </c>
      <c r="C31" s="2">
        <v>4019</v>
      </c>
      <c r="D31" s="11">
        <v>241421.32877349851</v>
      </c>
      <c r="E31" s="2">
        <v>6.7918251262599929</v>
      </c>
      <c r="F31" s="2">
        <v>8.9649373890910571</v>
      </c>
      <c r="G31" s="2">
        <v>0.84505795976676412</v>
      </c>
      <c r="H31" s="2">
        <v>2.9388628878952892</v>
      </c>
      <c r="I31" s="11">
        <v>30038.31985436548</v>
      </c>
      <c r="J31" s="2">
        <v>500.05526896904001</v>
      </c>
      <c r="K31" s="2">
        <v>-3518.9447310309602</v>
      </c>
      <c r="L31" s="14">
        <f>K31/C31</f>
        <v>-0.87557719110001497</v>
      </c>
      <c r="M31" s="3" t="s">
        <v>47</v>
      </c>
    </row>
    <row r="32" spans="1:13" x14ac:dyDescent="0.2">
      <c r="A32" s="2" t="s">
        <v>40</v>
      </c>
      <c r="B32" s="11">
        <v>219.44000244140619</v>
      </c>
      <c r="C32" s="2">
        <v>2255</v>
      </c>
      <c r="D32" s="11">
        <v>494837.20550537109</v>
      </c>
      <c r="E32" s="2">
        <v>13.921088840136431</v>
      </c>
      <c r="F32" s="2">
        <v>10.460456009383609</v>
      </c>
      <c r="G32" s="2">
        <v>1.2878509435635701</v>
      </c>
      <c r="H32" s="2">
        <v>2.941148855405662</v>
      </c>
      <c r="I32" s="11">
        <v>45777.781417721853</v>
      </c>
      <c r="J32" s="2">
        <v>208.6118342527142</v>
      </c>
      <c r="K32" s="2">
        <v>-2046.3881657472859</v>
      </c>
      <c r="L32" s="14">
        <f>K32/C32</f>
        <v>-0.90748920875711125</v>
      </c>
      <c r="M32" s="3" t="s">
        <v>47</v>
      </c>
    </row>
    <row r="33" spans="1:13" x14ac:dyDescent="0.2">
      <c r="A33" s="2" t="s">
        <v>45</v>
      </c>
      <c r="B33" s="11">
        <v>86.169998168945312</v>
      </c>
      <c r="C33" s="2">
        <v>4978</v>
      </c>
      <c r="D33" s="11">
        <v>428954.25088500982</v>
      </c>
      <c r="E33" s="2">
        <v>12.067625814081151</v>
      </c>
      <c r="F33" s="2">
        <v>16.668160046632011</v>
      </c>
      <c r="G33" s="2">
        <v>0.78200255545866204</v>
      </c>
      <c r="H33" s="2">
        <v>2.945729584215202</v>
      </c>
      <c r="I33" s="11">
        <v>27796.960689278301</v>
      </c>
      <c r="J33" s="2">
        <v>322.58281629273631</v>
      </c>
      <c r="K33" s="2">
        <v>-4655.4171837072636</v>
      </c>
      <c r="L33" s="14">
        <f>K33/C33</f>
        <v>-0.93519830930238323</v>
      </c>
      <c r="M33" s="3" t="s">
        <v>47</v>
      </c>
    </row>
    <row r="34" spans="1:13" x14ac:dyDescent="0.2">
      <c r="A34" s="2" t="s">
        <v>33</v>
      </c>
      <c r="B34" s="11">
        <v>71.889999389648438</v>
      </c>
      <c r="C34" s="2">
        <v>6232</v>
      </c>
      <c r="D34" s="11">
        <v>448018.47619628912</v>
      </c>
      <c r="E34" s="2">
        <v>12.6039532592975</v>
      </c>
      <c r="F34" s="2">
        <v>17.715240482460409</v>
      </c>
      <c r="G34" s="2">
        <v>0.75816973382158592</v>
      </c>
      <c r="H34" s="2">
        <v>2.9299942732976549</v>
      </c>
      <c r="I34" s="11">
        <v>26949.802324467299</v>
      </c>
      <c r="J34" s="2">
        <v>374.87553975898129</v>
      </c>
      <c r="K34" s="2">
        <v>-5857.1244602410188</v>
      </c>
      <c r="L34" s="14">
        <f>K34/C34</f>
        <v>-0.93984667205407879</v>
      </c>
      <c r="M34" s="3" t="s">
        <v>47</v>
      </c>
    </row>
    <row r="35" spans="1:13" x14ac:dyDescent="0.2">
      <c r="A35" s="2" t="s">
        <v>26</v>
      </c>
      <c r="B35" s="11">
        <v>81.980003356933594</v>
      </c>
      <c r="C35" s="2">
        <v>0</v>
      </c>
      <c r="D35" s="11">
        <v>0</v>
      </c>
      <c r="E35" s="2">
        <v>0</v>
      </c>
      <c r="F35" s="2">
        <v>0</v>
      </c>
      <c r="G35" s="2">
        <v>14.84396042023082</v>
      </c>
      <c r="H35" s="2">
        <v>3.2358022837161182</v>
      </c>
      <c r="I35" s="11">
        <v>527641.47814369993</v>
      </c>
      <c r="J35" s="2">
        <v>6436.2217191721275</v>
      </c>
      <c r="K35" s="2">
        <v>6436.2217191721275</v>
      </c>
      <c r="L35" s="14"/>
      <c r="M35" s="3" t="s">
        <v>46</v>
      </c>
    </row>
    <row r="36" spans="1:13" x14ac:dyDescent="0.2">
      <c r="D36" s="12">
        <f>SUM(D2:D35)</f>
        <v>3554586.9377593994</v>
      </c>
      <c r="E36" s="1">
        <f>SUM(E2:E35)</f>
        <v>100</v>
      </c>
      <c r="F36" s="1">
        <f>SUM(F2:F35)</f>
        <v>100</v>
      </c>
      <c r="G36" s="1">
        <f>SUM(G2:G35)</f>
        <v>100</v>
      </c>
      <c r="H36" s="1">
        <f>SUM(H2:H35)</f>
        <v>99.999999999999986</v>
      </c>
      <c r="I36" s="12">
        <f>SUM(I2:I35)</f>
        <v>3554586.9377593989</v>
      </c>
    </row>
  </sheetData>
  <sortState xmlns:xlrd2="http://schemas.microsoft.com/office/spreadsheetml/2017/richdata2" ref="A2:M35">
    <sortCondition descending="1" ref="L2:L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Fraenkel</cp:lastModifiedBy>
  <dcterms:created xsi:type="dcterms:W3CDTF">2026-07-07T04:42:49Z</dcterms:created>
  <dcterms:modified xsi:type="dcterms:W3CDTF">2026-07-07T05:00:53Z</dcterms:modified>
</cp:coreProperties>
</file>